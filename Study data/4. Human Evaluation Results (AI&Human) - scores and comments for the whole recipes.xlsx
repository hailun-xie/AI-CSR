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universityofexeteruk-my.sharepoint.com/personal/h_x_xie_exeter_ac_uk/Documents/HACID/HACID results analysis/HACID submission/"/>
    </mc:Choice>
  </mc:AlternateContent>
  <xr:revisionPtr revIDLastSave="929" documentId="11_F25DC773A252ABDACC104883211A5D805ADE58E8" xr6:coauthVersionLast="47" xr6:coauthVersionMax="47" xr10:uidLastSave="{5BFF946A-BF1D-493D-8C01-7FE7FEFAE8A0}"/>
  <bookViews>
    <workbookView xWindow="-110" yWindow="-110" windowWidth="19420" windowHeight="10300" activeTab="5" xr2:uid="{00000000-000D-0000-FFFF-FFFF00000000}"/>
  </bookViews>
  <sheets>
    <sheet name="Overall" sheetId="1" r:id="rId1"/>
    <sheet name="Built Environment" sheetId="2" r:id="rId2"/>
    <sheet name="Energy" sheetId="3" r:id="rId3"/>
    <sheet name="Transport" sheetId="4" r:id="rId4"/>
    <sheet name="Sea Level" sheetId="5" r:id="rId5"/>
    <sheet name="Agriculture"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9" i="6" l="1"/>
  <c r="P49" i="6"/>
  <c r="Q49" i="6"/>
  <c r="R49" i="6"/>
  <c r="N49" i="6"/>
  <c r="I49" i="6"/>
  <c r="J49" i="6"/>
  <c r="K49" i="6"/>
  <c r="L49" i="6"/>
  <c r="H49" i="6"/>
  <c r="C49" i="6"/>
  <c r="D49" i="6"/>
  <c r="E49" i="6"/>
  <c r="F49" i="6"/>
  <c r="B49" i="6"/>
  <c r="O23" i="6"/>
  <c r="P23" i="6"/>
  <c r="Q23" i="6"/>
  <c r="R23" i="6"/>
  <c r="N23" i="6"/>
  <c r="I23" i="6"/>
  <c r="J23" i="6"/>
  <c r="K23" i="6"/>
  <c r="L23" i="6"/>
  <c r="H23" i="6"/>
  <c r="F23" i="6"/>
  <c r="E23" i="6"/>
  <c r="D23" i="6"/>
  <c r="C23" i="6"/>
  <c r="B23" i="6"/>
  <c r="C35" i="5"/>
  <c r="D35" i="5"/>
  <c r="E35" i="5"/>
  <c r="F35" i="5"/>
  <c r="H35" i="5"/>
  <c r="I35" i="5"/>
  <c r="J35" i="5"/>
  <c r="K35" i="5"/>
  <c r="L35" i="5"/>
  <c r="N35" i="5"/>
  <c r="O35" i="5"/>
  <c r="P35" i="5"/>
  <c r="Q35" i="5"/>
  <c r="R35" i="5"/>
  <c r="B35" i="5"/>
  <c r="D16" i="5"/>
  <c r="E16" i="5"/>
  <c r="F16" i="5"/>
  <c r="H16" i="5"/>
  <c r="I16" i="5"/>
  <c r="J16" i="5"/>
  <c r="K16" i="5"/>
  <c r="L16" i="5"/>
  <c r="N16" i="5"/>
  <c r="O16" i="5"/>
  <c r="P16" i="5"/>
  <c r="Q16" i="5"/>
  <c r="R16" i="5"/>
  <c r="C16" i="5"/>
  <c r="B16" i="5"/>
  <c r="F36" i="5"/>
  <c r="E36" i="5"/>
  <c r="H20" i="4"/>
  <c r="I20" i="4"/>
  <c r="J20" i="4"/>
  <c r="K20" i="4"/>
  <c r="L20" i="4"/>
  <c r="N20" i="4"/>
  <c r="O20" i="4"/>
  <c r="P20" i="4"/>
  <c r="Q20" i="4"/>
  <c r="R20" i="4"/>
  <c r="F20" i="4"/>
  <c r="E20" i="4"/>
  <c r="D20" i="4"/>
  <c r="C20" i="4"/>
  <c r="B20" i="4"/>
  <c r="H43" i="4"/>
  <c r="I43" i="4"/>
  <c r="J43" i="4"/>
  <c r="K43" i="4"/>
  <c r="L43" i="4"/>
  <c r="N43" i="4"/>
  <c r="O43" i="4"/>
  <c r="P43" i="4"/>
  <c r="Q43" i="4"/>
  <c r="R43" i="4"/>
  <c r="F43" i="4"/>
  <c r="E43" i="4"/>
  <c r="D43" i="4"/>
  <c r="C43" i="4"/>
  <c r="B43" i="4"/>
  <c r="H53" i="3"/>
  <c r="I53" i="3"/>
  <c r="J53" i="3"/>
  <c r="K53" i="3"/>
  <c r="L53" i="3"/>
  <c r="N53" i="3"/>
  <c r="O53" i="3"/>
  <c r="P53" i="3"/>
  <c r="Q53" i="3"/>
  <c r="R53" i="3"/>
  <c r="H25" i="3"/>
  <c r="I25" i="3"/>
  <c r="J25" i="3"/>
  <c r="K25" i="3"/>
  <c r="L25" i="3"/>
  <c r="N25" i="3"/>
  <c r="O25" i="3"/>
  <c r="P25" i="3"/>
  <c r="D26" i="3" s="1"/>
  <c r="Q25" i="3"/>
  <c r="E26" i="3" s="1"/>
  <c r="R25" i="3"/>
  <c r="F26" i="3" s="1"/>
  <c r="F53" i="3"/>
  <c r="E53" i="3"/>
  <c r="D53" i="3"/>
  <c r="C53" i="3"/>
  <c r="B53" i="3"/>
  <c r="F25" i="3"/>
  <c r="E25" i="3"/>
  <c r="D25" i="3"/>
  <c r="C25" i="3"/>
  <c r="B25" i="3"/>
  <c r="B26" i="3" s="1"/>
  <c r="I2" i="1"/>
  <c r="K2" i="1"/>
  <c r="M2" i="1"/>
  <c r="O2" i="1"/>
  <c r="Q2" i="1"/>
  <c r="H2" i="1"/>
  <c r="J2" i="1"/>
  <c r="L2" i="1"/>
  <c r="N2" i="1"/>
  <c r="P2" i="1"/>
  <c r="B19" i="2"/>
  <c r="C19" i="2"/>
  <c r="D19" i="2"/>
  <c r="E19" i="2"/>
  <c r="F19" i="2"/>
  <c r="E40" i="2"/>
  <c r="R39" i="2"/>
  <c r="Q39" i="2"/>
  <c r="P39" i="2"/>
  <c r="O39" i="2"/>
  <c r="N39" i="2"/>
  <c r="L39" i="2"/>
  <c r="K39" i="2"/>
  <c r="J39" i="2"/>
  <c r="I39" i="2"/>
  <c r="H39" i="2"/>
  <c r="F39" i="2"/>
  <c r="F40" i="2" s="1"/>
  <c r="E39" i="2"/>
  <c r="D39" i="2"/>
  <c r="D40" i="2" s="1"/>
  <c r="C39" i="2"/>
  <c r="C40" i="2" s="1"/>
  <c r="B39" i="2"/>
  <c r="B40" i="2" s="1"/>
  <c r="H18" i="2"/>
  <c r="I18" i="2"/>
  <c r="J18" i="2"/>
  <c r="K18" i="2"/>
  <c r="L18" i="2"/>
  <c r="N18" i="2"/>
  <c r="O18" i="2"/>
  <c r="P18" i="2"/>
  <c r="Q18" i="2"/>
  <c r="R18" i="2"/>
  <c r="C18" i="2"/>
  <c r="D18" i="2"/>
  <c r="E18" i="2"/>
  <c r="F18" i="2"/>
  <c r="B18" i="2"/>
  <c r="E24" i="6" l="1"/>
  <c r="E50" i="6"/>
  <c r="F24" i="6"/>
  <c r="B24" i="6"/>
  <c r="D50" i="6"/>
  <c r="F50" i="6"/>
  <c r="B50" i="6"/>
  <c r="C50" i="6"/>
  <c r="C24" i="6"/>
  <c r="D24" i="6"/>
  <c r="B36" i="5"/>
  <c r="C36" i="5"/>
  <c r="D36" i="5"/>
  <c r="E17" i="5"/>
  <c r="F17" i="5"/>
  <c r="B17" i="5"/>
  <c r="C17" i="5"/>
  <c r="D17" i="5"/>
  <c r="F44" i="4"/>
  <c r="B44" i="4"/>
  <c r="C44" i="4"/>
  <c r="D44" i="4"/>
  <c r="E44" i="4"/>
  <c r="F21" i="4"/>
  <c r="B21" i="4"/>
  <c r="C21" i="4"/>
  <c r="D21" i="4"/>
  <c r="E21" i="4"/>
  <c r="F54" i="3"/>
  <c r="C26" i="3"/>
  <c r="B54" i="3"/>
  <c r="D54" i="3"/>
  <c r="C54" i="3"/>
  <c r="E54" i="3"/>
</calcChain>
</file>

<file path=xl/sharedStrings.xml><?xml version="1.0" encoding="utf-8"?>
<sst xmlns="http://schemas.openxmlformats.org/spreadsheetml/2006/main" count="422" uniqueCount="72">
  <si>
    <t>Cases</t>
  </si>
  <si>
    <t>No. of submissions</t>
  </si>
  <si>
    <t xml:space="preserve">AI correctly identified </t>
  </si>
  <si>
    <t>AI better than Human</t>
  </si>
  <si>
    <t>Comment 1</t>
  </si>
  <si>
    <t>Comment 2</t>
  </si>
  <si>
    <t>Comment 3</t>
  </si>
  <si>
    <t>Accuracy-agent</t>
  </si>
  <si>
    <t>Accuracy-human</t>
  </si>
  <si>
    <t>Relevance-agent</t>
  </si>
  <si>
    <t>Relevance-human</t>
  </si>
  <si>
    <t>Specificity-agent</t>
  </si>
  <si>
    <t>Specificity-human</t>
  </si>
  <si>
    <t>Completeness-agent</t>
  </si>
  <si>
    <t>Completeness-human</t>
  </si>
  <si>
    <t>Clarity-agent</t>
  </si>
  <si>
    <t>Clarity-human</t>
  </si>
  <si>
    <t>Built Environment</t>
  </si>
  <si>
    <t>Energy</t>
  </si>
  <si>
    <t>Transport</t>
  </si>
  <si>
    <t>Sea Level</t>
  </si>
  <si>
    <t>Agriculture</t>
  </si>
  <si>
    <t>AI</t>
  </si>
  <si>
    <t>Expert 1</t>
  </si>
  <si>
    <t>Expert 2</t>
  </si>
  <si>
    <t>Expert 3</t>
  </si>
  <si>
    <t>Accuracy</t>
  </si>
  <si>
    <t>Relevance</t>
  </si>
  <si>
    <t>Specificity</t>
  </si>
  <si>
    <t>Completeness</t>
  </si>
  <si>
    <t>Clarity</t>
  </si>
  <si>
    <t>Q1</t>
  </si>
  <si>
    <t>Q2</t>
  </si>
  <si>
    <t>Q3</t>
  </si>
  <si>
    <t>Q4</t>
  </si>
  <si>
    <t>Q5</t>
  </si>
  <si>
    <t>Q6</t>
  </si>
  <si>
    <t>Q7</t>
  </si>
  <si>
    <t>Q8</t>
  </si>
  <si>
    <t>Q9</t>
  </si>
  <si>
    <t>Q10</t>
  </si>
  <si>
    <t>Q11</t>
  </si>
  <si>
    <t>Q12</t>
  </si>
  <si>
    <t>Q13</t>
  </si>
  <si>
    <t>Q14</t>
  </si>
  <si>
    <t>Q15</t>
  </si>
  <si>
    <t>Average</t>
  </si>
  <si>
    <t>All_Average</t>
  </si>
  <si>
    <t>Human</t>
  </si>
  <si>
    <t>Q16</t>
  </si>
  <si>
    <t>Q17</t>
  </si>
  <si>
    <t>Q18</t>
  </si>
  <si>
    <t>Q19</t>
  </si>
  <si>
    <t>Q20</t>
  </si>
  <si>
    <t>Q21</t>
  </si>
  <si>
    <t>Q22</t>
  </si>
  <si>
    <r>
      <rPr>
        <b/>
        <sz val="11"/>
        <color theme="1"/>
        <rFont val="Calibri"/>
        <family val="2"/>
        <scheme val="minor"/>
      </rPr>
      <t>V1</t>
    </r>
    <r>
      <rPr>
        <sz val="11"/>
        <color theme="1"/>
        <rFont val="Calibri"/>
        <family val="2"/>
        <scheme val="minor"/>
      </rPr>
      <t xml:space="preserve">: Answers fine for someone who knows what they are doing, perhaps less helpful for someone who wants to carry out the simulations who is probably just wanting data and simple but reasonable solutions.
</t>
    </r>
    <r>
      <rPr>
        <b/>
        <sz val="11"/>
        <color theme="1"/>
        <rFont val="Calibri"/>
        <family val="2"/>
        <scheme val="minor"/>
      </rPr>
      <t>V2</t>
    </r>
    <r>
      <rPr>
        <sz val="11"/>
        <color theme="1"/>
        <rFont val="Calibri"/>
        <family val="2"/>
        <scheme val="minor"/>
      </rPr>
      <t xml:space="preserve">: Many answers were basic or wrong, some are probably more usable.
</t>
    </r>
    <r>
      <rPr>
        <b/>
        <sz val="11"/>
        <color theme="1"/>
        <rFont val="Calibri"/>
        <family val="2"/>
        <scheme val="minor"/>
      </rPr>
      <t>Comparison</t>
    </r>
    <r>
      <rPr>
        <sz val="11"/>
        <color theme="1"/>
        <rFont val="Calibri"/>
        <family val="2"/>
        <scheme val="minor"/>
      </rPr>
      <t xml:space="preserve">: Answers v1 seem more complete, but probably of less use. </t>
    </r>
  </si>
  <si>
    <r>
      <rPr>
        <b/>
        <sz val="11"/>
        <color theme="1"/>
        <rFont val="Calibri"/>
        <family val="2"/>
        <scheme val="minor"/>
      </rPr>
      <t xml:space="preserve">V1: </t>
    </r>
    <r>
      <rPr>
        <sz val="11"/>
        <color theme="1"/>
        <rFont val="Calibri"/>
        <family val="2"/>
        <scheme val="minor"/>
      </rPr>
      <t>None</t>
    </r>
    <r>
      <rPr>
        <b/>
        <sz val="11"/>
        <color theme="1"/>
        <rFont val="Calibri"/>
        <family val="2"/>
        <scheme val="minor"/>
      </rPr>
      <t xml:space="preserve">
V2: </t>
    </r>
    <r>
      <rPr>
        <sz val="11"/>
        <color theme="1"/>
        <rFont val="Calibri"/>
        <family val="2"/>
        <scheme val="minor"/>
      </rPr>
      <t>None</t>
    </r>
    <r>
      <rPr>
        <b/>
        <sz val="11"/>
        <color theme="1"/>
        <rFont val="Calibri"/>
        <family val="2"/>
        <scheme val="minor"/>
      </rPr>
      <t xml:space="preserve">
Comparison:</t>
    </r>
    <r>
      <rPr>
        <sz val="11"/>
        <color theme="1"/>
        <rFont val="Calibri"/>
        <family val="2"/>
        <scheme val="minor"/>
      </rPr>
      <t xml:space="preserve"> V1 was more detailed, often as accurate as V2. However, V2 often provided limited to no explanation.</t>
    </r>
  </si>
  <si>
    <r>
      <rPr>
        <b/>
        <sz val="11"/>
        <color theme="1"/>
        <rFont val="Calibri"/>
        <family val="2"/>
        <scheme val="minor"/>
      </rPr>
      <t xml:space="preserve">V1: </t>
    </r>
    <r>
      <rPr>
        <sz val="11"/>
        <color theme="1"/>
        <rFont val="Calibri"/>
        <family val="2"/>
        <scheme val="minor"/>
      </rPr>
      <t>This version of answers is very comprehensive, and outlines many information and resources which can be useful for the case.</t>
    </r>
    <r>
      <rPr>
        <b/>
        <sz val="11"/>
        <color theme="1"/>
        <rFont val="Calibri"/>
        <family val="2"/>
        <scheme val="minor"/>
      </rPr>
      <t xml:space="preserve">
V2: </t>
    </r>
    <r>
      <rPr>
        <sz val="11"/>
        <color theme="1"/>
        <rFont val="Calibri"/>
        <family val="2"/>
        <scheme val="minor"/>
      </rPr>
      <t>This version of answers is very short, sometimes inaccurate.</t>
    </r>
    <r>
      <rPr>
        <b/>
        <sz val="11"/>
        <color theme="1"/>
        <rFont val="Calibri"/>
        <family val="2"/>
        <scheme val="minor"/>
      </rPr>
      <t xml:space="preserve">
Comparison:</t>
    </r>
    <r>
      <rPr>
        <sz val="11"/>
        <color theme="1"/>
        <rFont val="Calibri"/>
        <family val="2"/>
        <scheme val="minor"/>
      </rPr>
      <t xml:space="preserve"> v1 is much more comprehensive and useful than v2. It outlines available solutions for human users to select.</t>
    </r>
  </si>
  <si>
    <r>
      <rPr>
        <b/>
        <sz val="11"/>
        <color theme="1"/>
        <rFont val="Calibri"/>
        <family val="2"/>
        <scheme val="minor"/>
      </rPr>
      <t xml:space="preserve">V1: </t>
    </r>
    <r>
      <rPr>
        <sz val="11"/>
        <color theme="1"/>
        <rFont val="Calibri"/>
        <family val="2"/>
        <scheme val="minor"/>
      </rPr>
      <t>This is a good, detailed assessment. My only concern is the spatial aggregation too early and the exposure weighting complicating the results. I like the idea of using EURO-CORDEX to represent more climate model uncertainty, and the use of sensitivity analysis. The time period and RCPs are a bit confused in this one too.</t>
    </r>
    <r>
      <rPr>
        <b/>
        <sz val="11"/>
        <color theme="1"/>
        <rFont val="Calibri"/>
        <family val="2"/>
        <scheme val="minor"/>
      </rPr>
      <t xml:space="preserve">
V2: </t>
    </r>
    <r>
      <rPr>
        <sz val="11"/>
        <color theme="1"/>
        <rFont val="Calibri"/>
        <family val="2"/>
        <scheme val="minor"/>
      </rPr>
      <t>This basically follows the process used for the local authority climate service, which is reasonable but could be elaborated on using more data and more varied results.</t>
    </r>
    <r>
      <rPr>
        <b/>
        <sz val="11"/>
        <color theme="1"/>
        <rFont val="Calibri"/>
        <family val="2"/>
        <scheme val="minor"/>
      </rPr>
      <t xml:space="preserve">
Comparison:</t>
    </r>
    <r>
      <rPr>
        <sz val="11"/>
        <color theme="1"/>
        <rFont val="Calibri"/>
        <family val="2"/>
        <scheme val="minor"/>
      </rPr>
      <t xml:space="preserve"> I think version 1 (which I think is the AI one) provided more detailed and broad answers giving more context to the answers. It was however in some places a bit confusing by suggesting too many different suggestions particularly on warming levels and time periods.</t>
    </r>
  </si>
  <si>
    <r>
      <rPr>
        <b/>
        <sz val="11"/>
        <color theme="1"/>
        <rFont val="Calibri"/>
        <family val="2"/>
        <scheme val="minor"/>
      </rPr>
      <t xml:space="preserve">V1: </t>
    </r>
    <r>
      <rPr>
        <sz val="11"/>
        <color theme="1"/>
        <rFont val="Calibri"/>
        <family val="2"/>
        <scheme val="minor"/>
      </rPr>
      <t>very clear and comprehensive response.</t>
    </r>
    <r>
      <rPr>
        <b/>
        <sz val="11"/>
        <color theme="1"/>
        <rFont val="Calibri"/>
        <family val="2"/>
        <scheme val="minor"/>
      </rPr>
      <t xml:space="preserve">
V2: </t>
    </r>
    <r>
      <rPr>
        <sz val="11"/>
        <color theme="1"/>
        <rFont val="Calibri"/>
        <family val="2"/>
        <scheme val="minor"/>
      </rPr>
      <t>a bit more general response, and sometimes do not provide useful information.</t>
    </r>
    <r>
      <rPr>
        <b/>
        <sz val="11"/>
        <color theme="1"/>
        <rFont val="Calibri"/>
        <family val="2"/>
        <scheme val="minor"/>
      </rPr>
      <t xml:space="preserve">
Comparison:</t>
    </r>
    <r>
      <rPr>
        <sz val="11"/>
        <color theme="1"/>
        <rFont val="Calibri"/>
        <family val="2"/>
        <scheme val="minor"/>
      </rPr>
      <t xml:space="preserve"> one version is clearly has more specific information, and the one is too general sometimes</t>
    </r>
  </si>
  <si>
    <t xml:space="preserve">Please see my previous points, which drew out these distinctions. </t>
  </si>
  <si>
    <r>
      <rPr>
        <b/>
        <sz val="11"/>
        <color theme="1"/>
        <rFont val="Calibri"/>
        <family val="2"/>
        <scheme val="minor"/>
      </rPr>
      <t xml:space="preserve">V1: </t>
    </r>
    <r>
      <rPr>
        <sz val="11"/>
        <color theme="1"/>
        <rFont val="Calibri"/>
        <family val="2"/>
        <scheme val="minor"/>
      </rPr>
      <t xml:space="preserve">This recipe gives confidence that the sources have been appropriately used and their limitations understood. It offers guidance but not instructions. It reads as being more academically critical but does sometimes lack specificity. </t>
    </r>
    <r>
      <rPr>
        <b/>
        <sz val="11"/>
        <color theme="1"/>
        <rFont val="Calibri"/>
        <family val="2"/>
        <scheme val="minor"/>
      </rPr>
      <t xml:space="preserve">
V2: </t>
    </r>
    <r>
      <rPr>
        <sz val="11"/>
        <color theme="1"/>
        <rFont val="Calibri"/>
        <family val="2"/>
        <scheme val="minor"/>
      </rPr>
      <t xml:space="preserve">The methods in this version should be reconsidered, a lot of them does not make much sense for now, e.g. aggregate the data to the whole london can't really reveal the spatial pattern of risks or impacts. </t>
    </r>
    <r>
      <rPr>
        <b/>
        <sz val="11"/>
        <color theme="1"/>
        <rFont val="Calibri"/>
        <family val="2"/>
        <scheme val="minor"/>
      </rPr>
      <t xml:space="preserve">
Comparison:</t>
    </r>
    <r>
      <rPr>
        <sz val="11"/>
        <color theme="1"/>
        <rFont val="Calibri"/>
        <family val="2"/>
        <scheme val="minor"/>
      </rPr>
      <t xml:space="preserve"> The version 1 contains more comprehensive dataset, pre-process of the dataset, and uncertainty assessment. However, for the specific number or time duration mentioned in the V1 answer should be double checked. The V2 shows their expertise in some questions, but for most questions, there is a lack of accuracy and completeness. </t>
    </r>
  </si>
  <si>
    <r>
      <rPr>
        <b/>
        <sz val="11"/>
        <color theme="1"/>
        <rFont val="Calibri"/>
        <family val="2"/>
        <scheme val="minor"/>
      </rPr>
      <t xml:space="preserve">V1: </t>
    </r>
    <r>
      <rPr>
        <sz val="11"/>
        <color theme="1"/>
        <rFont val="Calibri"/>
        <family val="2"/>
        <scheme val="minor"/>
      </rPr>
      <t>Although this recipe at first appeared useful, particularly in its ability to suggest a wide variety of datasets, overall it seems muddled and does not appear to be based on knowledge of how sea level projections are produced.</t>
    </r>
    <r>
      <rPr>
        <b/>
        <sz val="11"/>
        <color theme="1"/>
        <rFont val="Calibri"/>
        <family val="2"/>
        <scheme val="minor"/>
      </rPr>
      <t xml:space="preserve">
V2: </t>
    </r>
    <r>
      <rPr>
        <sz val="11"/>
        <color theme="1"/>
        <rFont val="Calibri"/>
        <family val="2"/>
        <scheme val="minor"/>
      </rPr>
      <t>This recipe appears to be a sensible approach that would provide useful information for the customer. It would benefit from more detail in places.</t>
    </r>
    <r>
      <rPr>
        <b/>
        <sz val="11"/>
        <color theme="1"/>
        <rFont val="Calibri"/>
        <family val="2"/>
        <scheme val="minor"/>
      </rPr>
      <t xml:space="preserve">
Comparison:</t>
    </r>
    <r>
      <rPr>
        <sz val="11"/>
        <color theme="1"/>
        <rFont val="Calibri"/>
        <family val="2"/>
        <scheme val="minor"/>
      </rPr>
      <t xml:space="preserve"> V1 appears to have scanned a large amount of information and selected a wide variety of ideas to present in a climate recipe. It has some useful ideas, but a lot of unnecessary information and some contradictions. It would be hard to know what to do with the information.
V2 appears to have been written by someone who has knowledge of how sea level projections are produced and experience in providing information to customers. It could benefit from more detail in places.</t>
    </r>
  </si>
  <si>
    <r>
      <rPr>
        <b/>
        <sz val="11"/>
        <color theme="1"/>
        <rFont val="Calibri"/>
        <family val="2"/>
        <scheme val="minor"/>
      </rPr>
      <t xml:space="preserve">V1: </t>
    </r>
    <r>
      <rPr>
        <sz val="11"/>
        <color theme="1"/>
        <rFont val="Calibri"/>
        <family val="2"/>
        <scheme val="minor"/>
      </rPr>
      <t>Concepts and methods were noted in more detail in the answers, however in some ways this was more convoluted and think that it would be more beneficial for the answers to be better structured and more concise so they are easier to interpret.</t>
    </r>
    <r>
      <rPr>
        <b/>
        <sz val="11"/>
        <color theme="1"/>
        <rFont val="Calibri"/>
        <family val="2"/>
        <scheme val="minor"/>
      </rPr>
      <t xml:space="preserve">
V2: </t>
    </r>
    <r>
      <rPr>
        <sz val="11"/>
        <color theme="1"/>
        <rFont val="Calibri"/>
        <family val="2"/>
        <scheme val="minor"/>
      </rPr>
      <t>Some of the answers missed more in depth analysis and methodology that could be more beneficial to an adaptation study such as addressing case studies for specific assets. But the answers given were clear and concise.</t>
    </r>
    <r>
      <rPr>
        <b/>
        <sz val="11"/>
        <color theme="1"/>
        <rFont val="Calibri"/>
        <family val="2"/>
        <scheme val="minor"/>
      </rPr>
      <t xml:space="preserve">
Comparison:</t>
    </r>
    <r>
      <rPr>
        <sz val="11"/>
        <color theme="1"/>
        <rFont val="Calibri"/>
        <family val="2"/>
        <scheme val="minor"/>
      </rPr>
      <t xml:space="preserve"> V2 was definitely clearer to interpret but potential vital information on analysing specific asset case studies. V1 however had so much information that it was hard to try and pick out the relevance and I think for clarity therefore V2 was better to avoid confusion. This really depends on the extent of the analysis required however. So although I have picked v2 below for better overall, it is only by a small margin. </t>
    </r>
  </si>
  <si>
    <r>
      <rPr>
        <b/>
        <sz val="11"/>
        <color theme="1"/>
        <rFont val="Calibri"/>
        <family val="2"/>
        <scheme val="minor"/>
      </rPr>
      <t xml:space="preserve">V1: </t>
    </r>
    <r>
      <rPr>
        <sz val="11"/>
        <color theme="1"/>
        <rFont val="Calibri"/>
        <family val="2"/>
        <scheme val="minor"/>
      </rPr>
      <t>As I already said, this recipe assumes unlimited resources to complete the project. Also, american spellings appear occasionally.</t>
    </r>
    <r>
      <rPr>
        <b/>
        <sz val="11"/>
        <color theme="1"/>
        <rFont val="Calibri"/>
        <family val="2"/>
        <scheme val="minor"/>
      </rPr>
      <t xml:space="preserve">
V2: </t>
    </r>
    <r>
      <rPr>
        <sz val="11"/>
        <color theme="1"/>
        <rFont val="Calibri"/>
        <family val="2"/>
        <scheme val="minor"/>
      </rPr>
      <t>Terminology was not always correctly defined, e.g. "average". Consideration of other climate datasets was not specified.</t>
    </r>
    <r>
      <rPr>
        <b/>
        <sz val="11"/>
        <color theme="1"/>
        <rFont val="Calibri"/>
        <family val="2"/>
        <scheme val="minor"/>
      </rPr>
      <t xml:space="preserve">
Comparison:</t>
    </r>
    <r>
      <rPr>
        <sz val="11"/>
        <color theme="1"/>
        <rFont val="Calibri"/>
        <family val="2"/>
        <scheme val="minor"/>
      </rPr>
      <t xml:space="preserve"> It was difficult to compare them really, because V1 assumed unlimited time and money to spend on doing the work. therefore, in the ideal world, V1 would be the optimal project, but practically, V2 probably better.</t>
    </r>
  </si>
  <si>
    <r>
      <rPr>
        <b/>
        <sz val="11"/>
        <color theme="1"/>
        <rFont val="Calibri"/>
        <family val="2"/>
        <scheme val="minor"/>
      </rPr>
      <t xml:space="preserve">V1: </t>
    </r>
    <r>
      <rPr>
        <sz val="11"/>
        <color theme="1"/>
        <rFont val="Calibri"/>
        <family val="2"/>
        <scheme val="minor"/>
      </rPr>
      <t>This version provides a highly comprehensive, well-structured, and decision-oriented climate service recipe. It consistently identifies relevant datasets, appropriate climate indices, preprocessing workflows, uncertainty treatment, and practical output formats. The responses are strongly grounded in the UK agricultural context and often include useful operational detail. In many cases, it demonstrates expert-level understanding and offers actionable recommendations. Some answers are relatively long and could occasionally be more concise, but overall this version is robust, credible, and highly useful.</t>
    </r>
    <r>
      <rPr>
        <b/>
        <sz val="11"/>
        <color theme="1"/>
        <rFont val="Calibri"/>
        <family val="2"/>
        <scheme val="minor"/>
      </rPr>
      <t xml:space="preserve">
V2: </t>
    </r>
    <r>
      <rPr>
        <sz val="11"/>
        <color theme="1"/>
        <rFont val="Calibri"/>
        <family val="2"/>
        <scheme val="minor"/>
      </rPr>
      <t>This version is generally clear, concise, and technically sound in several areas. It often provides straightforward recommendations that are easy to understand and may be useful for rapid initial scoping. However, many responses are narrower in scope, less comprehensive, and sometimes insufficiently detailed compared with the alternative version. In several cases, important considerations such as uncertainty, multiple data sources, preprocessing steps, or decision context were only partially addressed. Overall, this version is useful as a simplified starting point but would benefit from greater depth and completeness.</t>
    </r>
    <r>
      <rPr>
        <b/>
        <sz val="11"/>
        <color theme="1"/>
        <rFont val="Calibri"/>
        <family val="2"/>
        <scheme val="minor"/>
      </rPr>
      <t xml:space="preserve">
Comparison:</t>
    </r>
    <r>
      <rPr>
        <sz val="11"/>
        <color theme="1"/>
        <rFont val="Calibri"/>
        <family val="2"/>
        <scheme val="minor"/>
      </rPr>
      <t xml:space="preserve"> Overall, Recipe-v1 would be more suitable for professional project delivery, while Recipe-v2 would benefit from greater depth, consistency, and completeness.</t>
    </r>
  </si>
  <si>
    <r>
      <rPr>
        <b/>
        <sz val="11"/>
        <color rgb="FFFF0000"/>
        <rFont val="Calibri"/>
        <family val="2"/>
        <scheme val="minor"/>
      </rPr>
      <t xml:space="preserve">V1: </t>
    </r>
    <r>
      <rPr>
        <sz val="11"/>
        <color rgb="FFFF0000"/>
        <rFont val="Calibri"/>
        <family val="2"/>
        <scheme val="minor"/>
      </rPr>
      <t xml:space="preserve">The recipe largely made sense and had enough detail/explanation to be followed; however, it was inconsistent in parts, and others required further clarification. </t>
    </r>
    <r>
      <rPr>
        <b/>
        <sz val="11"/>
        <color rgb="FFFF0000"/>
        <rFont val="Calibri"/>
        <family val="2"/>
        <scheme val="minor"/>
      </rPr>
      <t xml:space="preserve">
V2: </t>
    </r>
    <r>
      <rPr>
        <sz val="11"/>
        <color rgb="FFFF0000"/>
        <rFont val="Calibri"/>
        <family val="2"/>
        <scheme val="minor"/>
      </rPr>
      <t>The recipe was quite incomplete and inconsistent, which would make it hard to follow, and may not give results that could be confidently used to inform decisions.</t>
    </r>
    <r>
      <rPr>
        <b/>
        <sz val="11"/>
        <color rgb="FFFF0000"/>
        <rFont val="Calibri"/>
        <family val="2"/>
        <scheme val="minor"/>
      </rPr>
      <t xml:space="preserve">
Comparison:</t>
    </r>
    <r>
      <rPr>
        <sz val="11"/>
        <color rgb="FFFF0000"/>
        <rFont val="Calibri"/>
        <family val="2"/>
        <scheme val="minor"/>
      </rPr>
      <t xml:space="preserve"> Recipe v1 was generally much clear and more complete. By no means did I agree with everything in it, but it would enable someone who was less familiar to make a good start. 
Recipe v2 was much briefer, with less detail and explanation. It often only focused on one variable (e.g. temperature or rainfall) rather than giving a more complete picture for all variables and how information could be extracted from them. Overall, I agreed with it less than v1.  </t>
    </r>
  </si>
  <si>
    <r>
      <rPr>
        <b/>
        <sz val="11"/>
        <color rgb="FFFF0000"/>
        <rFont val="Calibri"/>
        <family val="2"/>
        <scheme val="minor"/>
      </rPr>
      <t xml:space="preserve">V1: </t>
    </r>
    <r>
      <rPr>
        <sz val="11"/>
        <color rgb="FFFF0000"/>
        <rFont val="Calibri"/>
        <family val="2"/>
        <scheme val="minor"/>
      </rPr>
      <t xml:space="preserve">The text offered was mostly plausible. It seemed to struggle most with the later questions, which are more sophisticated than "data input"-style questions. I noticed several errors throughout which would undermine or mislead the reader. v1 did a much better job than v2.  </t>
    </r>
    <r>
      <rPr>
        <b/>
        <sz val="11"/>
        <color rgb="FFFF0000"/>
        <rFont val="Calibri"/>
        <family val="2"/>
        <scheme val="minor"/>
      </rPr>
      <t xml:space="preserve">
V2: </t>
    </r>
    <r>
      <rPr>
        <sz val="11"/>
        <color rgb="FFFF0000"/>
        <rFont val="Calibri"/>
        <family val="2"/>
        <scheme val="minor"/>
      </rPr>
      <t>The text generated was too simplistic, lacked detail and referenced out-of-date sea-level projections (I suspect heavily predicated on the UKCP18 work). It seemed to struggle most with the later questions, which are more sophisticated than "data input"-style questions. Overall, I would say that most output would be strongly misleading to the reader due to inaccuracies, incomplete grasp of the problem space and ambiguity/vagueness.</t>
    </r>
    <r>
      <rPr>
        <b/>
        <sz val="11"/>
        <color rgb="FFFF0000"/>
        <rFont val="Calibri"/>
        <family val="2"/>
        <scheme val="minor"/>
      </rPr>
      <t xml:space="preserve"> 
Comparison:</t>
    </r>
    <r>
      <rPr>
        <sz val="11"/>
        <color rgb="FFFF0000"/>
        <rFont val="Calibri"/>
        <family val="2"/>
        <scheme val="minor"/>
      </rPr>
      <t xml:space="preserve"> v1 had more detail, which made it more useable. It seemed to be more up-to-date in terms of datasets/scenarios and gave better "reasoning" and more comprehensive treatment of the overall problem space. v2 lacked detail, seemed out-of-date and could be widly misleading as a source of research design. </t>
    </r>
  </si>
  <si>
    <r>
      <rPr>
        <b/>
        <sz val="11"/>
        <color rgb="FFFF0000"/>
        <rFont val="Calibri"/>
        <family val="2"/>
        <scheme val="minor"/>
      </rPr>
      <t xml:space="preserve">V1: </t>
    </r>
    <r>
      <rPr>
        <sz val="11"/>
        <color rgb="FFFF0000"/>
        <rFont val="Calibri"/>
        <family val="2"/>
        <scheme val="minor"/>
      </rPr>
      <t>This version shows a clear understanding of climate data and its application.</t>
    </r>
    <r>
      <rPr>
        <b/>
        <sz val="11"/>
        <color rgb="FFFF0000"/>
        <rFont val="Calibri"/>
        <family val="2"/>
        <scheme val="minor"/>
      </rPr>
      <t xml:space="preserve">
V2: </t>
    </r>
    <r>
      <rPr>
        <sz val="11"/>
        <color rgb="FFFF0000"/>
        <rFont val="Calibri"/>
        <family val="2"/>
        <scheme val="minor"/>
      </rPr>
      <t xml:space="preserve">This recipe reads as prescriptive and uncritical, without explanation of recommendations. The answers are often brief and lacking in justification and reflection on limitations. Specificity is, however, often high. </t>
    </r>
    <r>
      <rPr>
        <b/>
        <sz val="11"/>
        <color rgb="FFFF0000"/>
        <rFont val="Calibri"/>
        <family val="2"/>
        <scheme val="minor"/>
      </rPr>
      <t xml:space="preserve">
Comparison:</t>
    </r>
    <r>
      <rPr>
        <sz val="11"/>
        <color rgb="FFFF0000"/>
        <rFont val="Calibri"/>
        <family val="2"/>
        <scheme val="minor"/>
      </rPr>
      <t xml:space="preserve"> Please see my previous points, which drew out these distinctions. 
</t>
    </r>
  </si>
  <si>
    <r>
      <rPr>
        <b/>
        <sz val="11"/>
        <color rgb="FFFF0000"/>
        <rFont val="Calibri"/>
        <family val="2"/>
        <scheme val="minor"/>
      </rPr>
      <t xml:space="preserve">V1: </t>
    </r>
    <r>
      <rPr>
        <sz val="11"/>
        <color rgb="FFFF0000"/>
        <rFont val="Calibri"/>
        <family val="2"/>
        <scheme val="minor"/>
      </rPr>
      <t>Overall recipe is thorough but some parts are complex, with multiple approaches suggested, but no guidance on how to bring all the results together.</t>
    </r>
    <r>
      <rPr>
        <b/>
        <sz val="11"/>
        <color rgb="FFFF0000"/>
        <rFont val="Calibri"/>
        <family val="2"/>
        <scheme val="minor"/>
      </rPr>
      <t xml:space="preserve">
V2: </t>
    </r>
    <r>
      <rPr>
        <sz val="11"/>
        <color rgb="FFFF0000"/>
        <rFont val="Calibri"/>
        <family val="2"/>
        <scheme val="minor"/>
      </rPr>
      <t>Recipe is often too simple, neglects consideration of some of the variables needed to fully answer the original question.</t>
    </r>
    <r>
      <rPr>
        <b/>
        <sz val="11"/>
        <color rgb="FFFF0000"/>
        <rFont val="Calibri"/>
        <family val="2"/>
        <scheme val="minor"/>
      </rPr>
      <t xml:space="preserve">
Comparison:</t>
    </r>
    <r>
      <rPr>
        <sz val="11"/>
        <color rgb="FFFF0000"/>
        <rFont val="Calibri"/>
        <family val="2"/>
        <scheme val="minor"/>
      </rPr>
      <t xml:space="preserve"> The first answer (v1) is usually more comprehensive, contains a larger number of ideas and suggestions and properly considered bias correction and uncertainty. The second (v2) is often too brief and in some instances only partially answers the question.</t>
    </r>
  </si>
  <si>
    <r>
      <rPr>
        <b/>
        <sz val="11"/>
        <color rgb="FFFF0000"/>
        <rFont val="Calibri"/>
        <family val="2"/>
        <scheme val="minor"/>
      </rPr>
      <t xml:space="preserve">V1: </t>
    </r>
    <r>
      <rPr>
        <sz val="11"/>
        <color rgb="FFFF0000"/>
        <rFont val="Calibri"/>
        <family val="2"/>
        <scheme val="minor"/>
      </rPr>
      <t xml:space="preserve">Nice methodology that i'd be very happy if someone asked me to use. </t>
    </r>
    <r>
      <rPr>
        <b/>
        <sz val="11"/>
        <color rgb="FFFF0000"/>
        <rFont val="Calibri"/>
        <family val="2"/>
        <scheme val="minor"/>
      </rPr>
      <t xml:space="preserve">
V2: </t>
    </r>
    <r>
      <rPr>
        <sz val="11"/>
        <color rgb="FFFF0000"/>
        <rFont val="Calibri"/>
        <family val="2"/>
        <scheme val="minor"/>
      </rPr>
      <t>A bit of a chaotic recipe where many of the decisions were not fully justified, and the instructions were often overly brief.</t>
    </r>
    <r>
      <rPr>
        <b/>
        <sz val="11"/>
        <color rgb="FFFF0000"/>
        <rFont val="Calibri"/>
        <family val="2"/>
        <scheme val="minor"/>
      </rPr>
      <t xml:space="preserve">
Comparison:</t>
    </r>
    <r>
      <rPr>
        <sz val="11"/>
        <color rgb="FFFF0000"/>
        <rFont val="Calibri"/>
        <family val="2"/>
        <scheme val="minor"/>
      </rPr>
      <t xml:space="preserve"> v1 was very well written and clear, v2 was harder to follow. Honestly either could have been AI for me (v2 because it doubles down on particular methods, v1 because it's much more eloquent than I am). However, Someone working in the climate services field could definitely write v1 and would be happy with it. I imagine a human could write version 2 in a hurry if they were just describing a past task rather than considering best practise!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</si>
</sst>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FF0000"/>
      <name val="Calibri"/>
      <family val="2"/>
      <scheme val="minor"/>
    </font>
    <font>
      <b/>
      <sz val="11"/>
      <color rgb="FFFF0000"/>
      <name val="Calibri"/>
      <family val="2"/>
      <scheme val="minor"/>
    </font>
    <font>
      <b/>
      <sz val="1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left"/>
    </xf>
    <xf numFmtId="0" fontId="0" fillId="0" borderId="0" xfId="0" applyAlignment="1">
      <alignment vertical="top" wrapText="1"/>
    </xf>
    <xf numFmtId="0" fontId="0" fillId="0" borderId="0" xfId="0" applyAlignment="1">
      <alignment horizontal="center" vertical="center"/>
    </xf>
    <xf numFmtId="2" fontId="0" fillId="0" borderId="0" xfId="0" applyNumberFormat="1" applyAlignment="1">
      <alignment horizontal="center"/>
    </xf>
    <xf numFmtId="2" fontId="0" fillId="0" borderId="0" xfId="0" applyNumberFormat="1" applyAlignment="1">
      <alignment horizontal="center" vertical="center"/>
    </xf>
    <xf numFmtId="0" fontId="1" fillId="0" borderId="0" xfId="0" applyFont="1" applyAlignment="1">
      <alignment vertical="center"/>
    </xf>
    <xf numFmtId="2" fontId="0" fillId="0" borderId="0" xfId="0" applyNumberFormat="1"/>
    <xf numFmtId="0" fontId="3" fillId="0" borderId="0" xfId="0" applyFont="1"/>
    <xf numFmtId="0" fontId="3" fillId="0" borderId="0" xfId="0" applyFont="1" applyAlignment="1">
      <alignment horizontal="center"/>
    </xf>
    <xf numFmtId="0" fontId="2" fillId="0" borderId="0" xfId="0" applyFont="1"/>
    <xf numFmtId="0" fontId="2" fillId="0" borderId="0" xfId="0" applyFont="1" applyAlignment="1">
      <alignment horizontal="center"/>
    </xf>
    <xf numFmtId="2" fontId="2" fillId="0" borderId="0" xfId="0" applyNumberFormat="1"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5" fillId="0" borderId="0" xfId="0" applyFont="1"/>
    <xf numFmtId="0" fontId="2" fillId="0" borderId="0" xfId="0" applyFont="1" applyAlignment="1">
      <alignment vertical="top" wrapText="1"/>
    </xf>
    <xf numFmtId="0" fontId="3" fillId="0" borderId="0" xfId="0" applyFont="1" applyAlignment="1">
      <alignment horizontal="center"/>
    </xf>
    <xf numFmtId="0" fontId="1" fillId="0" borderId="0" xfId="0" applyFont="1" applyAlignment="1">
      <alignment horizontal="center"/>
    </xf>
    <xf numFmtId="0" fontId="4"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7"/>
  <sheetViews>
    <sheetView topLeftCell="A3" zoomScale="85" zoomScaleNormal="85" workbookViewId="0">
      <selection activeCell="F2" sqref="F2"/>
    </sheetView>
  </sheetViews>
  <sheetFormatPr defaultRowHeight="14.5" x14ac:dyDescent="0.35"/>
  <cols>
    <col min="1" max="1" width="18.26953125" customWidth="1"/>
    <col min="2" max="2" width="19" customWidth="1"/>
    <col min="3" max="3" width="18.81640625" customWidth="1"/>
    <col min="4" max="4" width="21.1796875" customWidth="1"/>
    <col min="5" max="5" width="48.81640625" customWidth="1"/>
    <col min="6" max="6" width="45.1796875" customWidth="1"/>
    <col min="7" max="7" width="53.453125" customWidth="1"/>
    <col min="8" max="12" width="21.1796875" customWidth="1"/>
    <col min="13" max="13" width="18.26953125" customWidth="1"/>
    <col min="14" max="14" width="22.1796875" customWidth="1"/>
    <col min="15" max="15" width="21.453125" customWidth="1"/>
    <col min="16" max="16" width="18.453125" customWidth="1"/>
    <col min="17" max="17" width="16.81640625" customWidth="1"/>
  </cols>
  <sheetData>
    <row r="1" spans="1:17" x14ac:dyDescent="0.35">
      <c r="A1" s="4" t="s">
        <v>0</v>
      </c>
      <c r="B1" s="4" t="s">
        <v>1</v>
      </c>
      <c r="C1" s="1" t="s">
        <v>2</v>
      </c>
      <c r="D1" s="1" t="s">
        <v>3</v>
      </c>
      <c r="E1" s="1" t="s">
        <v>4</v>
      </c>
      <c r="F1" s="1" t="s">
        <v>5</v>
      </c>
      <c r="G1" s="1" t="s">
        <v>6</v>
      </c>
      <c r="H1" s="3" t="s">
        <v>7</v>
      </c>
      <c r="I1" s="3" t="s">
        <v>8</v>
      </c>
      <c r="J1" s="3" t="s">
        <v>9</v>
      </c>
      <c r="K1" s="3" t="s">
        <v>10</v>
      </c>
      <c r="L1" s="3" t="s">
        <v>11</v>
      </c>
      <c r="M1" s="3" t="s">
        <v>12</v>
      </c>
      <c r="N1" s="3" t="s">
        <v>13</v>
      </c>
      <c r="O1" s="3" t="s">
        <v>14</v>
      </c>
      <c r="P1" s="3" t="s">
        <v>15</v>
      </c>
      <c r="Q1" s="3" t="s">
        <v>16</v>
      </c>
    </row>
    <row r="2" spans="1:17" ht="154" customHeight="1" x14ac:dyDescent="0.35">
      <c r="A2" s="9" t="s">
        <v>17</v>
      </c>
      <c r="B2" s="6">
        <v>3</v>
      </c>
      <c r="C2" s="6">
        <v>3</v>
      </c>
      <c r="D2" s="6">
        <v>3</v>
      </c>
      <c r="E2" s="5" t="s">
        <v>56</v>
      </c>
      <c r="F2" s="5" t="s">
        <v>57</v>
      </c>
      <c r="G2" s="5" t="s">
        <v>58</v>
      </c>
      <c r="H2" s="8">
        <f>'Built Environment'!B19</f>
        <v>4.1333333333333329</v>
      </c>
      <c r="I2" s="8">
        <f>'Built Environment'!B40</f>
        <v>2.7777777777777772</v>
      </c>
      <c r="J2" s="8">
        <f>'Built Environment'!C19</f>
        <v>4.177777777777778</v>
      </c>
      <c r="K2" s="8">
        <f>'Built Environment'!C40</f>
        <v>3.3555555555555556</v>
      </c>
      <c r="L2" s="8">
        <f>'Built Environment'!D19</f>
        <v>4.0888888888888886</v>
      </c>
      <c r="M2" s="8">
        <f>'Built Environment'!D40</f>
        <v>3.0888888888888886</v>
      </c>
      <c r="N2" s="8">
        <f>'Built Environment'!E19</f>
        <v>3.9777777777777779</v>
      </c>
      <c r="O2" s="8">
        <f>'Built Environment'!E40</f>
        <v>2.1555555555555554</v>
      </c>
      <c r="P2" s="8">
        <f>'Built Environment'!F19</f>
        <v>4.0444444444444443</v>
      </c>
      <c r="Q2" s="8">
        <f>'Built Environment'!F40</f>
        <v>2.4444444444444446</v>
      </c>
    </row>
    <row r="3" spans="1:17" ht="213.5" customHeight="1" x14ac:dyDescent="0.35">
      <c r="A3" s="9" t="s">
        <v>18</v>
      </c>
      <c r="B3" s="6">
        <v>3</v>
      </c>
      <c r="C3" s="6">
        <v>2</v>
      </c>
      <c r="D3" s="6">
        <v>3</v>
      </c>
      <c r="E3" s="5" t="s">
        <v>59</v>
      </c>
      <c r="F3" s="5" t="s">
        <v>60</v>
      </c>
      <c r="G3" s="19" t="s">
        <v>71</v>
      </c>
      <c r="H3" s="8">
        <v>4.4696969696969697</v>
      </c>
      <c r="I3" s="8">
        <v>3.0303030303030298</v>
      </c>
      <c r="J3" s="8">
        <v>4.6363636363636367</v>
      </c>
      <c r="K3" s="8">
        <v>3.8484848484848482</v>
      </c>
      <c r="L3" s="8">
        <v>4.8030303030303036</v>
      </c>
      <c r="M3" s="8">
        <v>3.1515151515151518</v>
      </c>
      <c r="N3" s="8">
        <v>4.4545454545454541</v>
      </c>
      <c r="O3" s="8">
        <v>2.6363636363636362</v>
      </c>
      <c r="P3" s="8">
        <v>4.6060606060606064</v>
      </c>
      <c r="Q3" s="8">
        <v>2.8636363636363633</v>
      </c>
    </row>
    <row r="4" spans="1:17" ht="232" x14ac:dyDescent="0.35">
      <c r="A4" s="9" t="s">
        <v>19</v>
      </c>
      <c r="B4" s="6">
        <v>3</v>
      </c>
      <c r="C4" s="6">
        <v>1</v>
      </c>
      <c r="D4" s="6">
        <v>3</v>
      </c>
      <c r="E4" s="5" t="s">
        <v>62</v>
      </c>
      <c r="F4" s="19" t="s">
        <v>69</v>
      </c>
      <c r="G4" s="19" t="s">
        <v>70</v>
      </c>
      <c r="H4" s="8">
        <v>4.2549019607843128</v>
      </c>
      <c r="I4" s="8">
        <v>3.0784313725490193</v>
      </c>
      <c r="J4" s="8">
        <v>4.5882352941176476</v>
      </c>
      <c r="K4" s="8">
        <v>3.5098039215686274</v>
      </c>
      <c r="L4" s="8">
        <v>4.2745098039215685</v>
      </c>
      <c r="M4" s="8">
        <v>2.9803921568627452</v>
      </c>
      <c r="N4" s="8">
        <v>4.2352941176470589</v>
      </c>
      <c r="O4" s="8">
        <v>2.4313725490196081</v>
      </c>
      <c r="P4" s="8">
        <v>4.215686274509804</v>
      </c>
      <c r="Q4" s="8">
        <v>3.274509803921569</v>
      </c>
    </row>
    <row r="5" spans="1:17" ht="290" x14ac:dyDescent="0.35">
      <c r="A5" s="9" t="s">
        <v>20</v>
      </c>
      <c r="B5" s="6">
        <v>3</v>
      </c>
      <c r="C5" s="6">
        <v>2</v>
      </c>
      <c r="D5" s="6">
        <v>1</v>
      </c>
      <c r="E5" s="19" t="s">
        <v>68</v>
      </c>
      <c r="F5" s="5" t="s">
        <v>63</v>
      </c>
      <c r="G5" s="5" t="s">
        <v>64</v>
      </c>
      <c r="H5" s="8">
        <v>3.6923076923076921</v>
      </c>
      <c r="I5" s="8">
        <v>3.4358974358974357</v>
      </c>
      <c r="J5" s="8">
        <v>3.7435897435897432</v>
      </c>
      <c r="K5" s="8">
        <v>3.7435897435897432</v>
      </c>
      <c r="L5" s="8">
        <v>3.6923076923076921</v>
      </c>
      <c r="M5" s="8">
        <v>2.8461538461538463</v>
      </c>
      <c r="N5" s="8">
        <v>3.5897435897435899</v>
      </c>
      <c r="O5" s="8">
        <v>2.4358974358974361</v>
      </c>
      <c r="P5" s="8">
        <v>3.5128205128205128</v>
      </c>
      <c r="Q5" s="8">
        <v>3.6153846153846154</v>
      </c>
    </row>
    <row r="6" spans="1:17" ht="409.5" customHeight="1" x14ac:dyDescent="0.35">
      <c r="A6" s="9" t="s">
        <v>21</v>
      </c>
      <c r="B6" s="6">
        <v>3</v>
      </c>
      <c r="C6" s="6">
        <v>2</v>
      </c>
      <c r="D6" s="6">
        <v>3</v>
      </c>
      <c r="E6" s="5" t="s">
        <v>65</v>
      </c>
      <c r="F6" s="19" t="s">
        <v>67</v>
      </c>
      <c r="G6" s="5" t="s">
        <v>66</v>
      </c>
      <c r="H6" s="8">
        <v>4.3999999999999995</v>
      </c>
      <c r="I6" s="8">
        <v>3.4833333333333329</v>
      </c>
      <c r="J6" s="8">
        <v>4.3833333333333337</v>
      </c>
      <c r="K6" s="8">
        <v>3.4833333333333329</v>
      </c>
      <c r="L6" s="8">
        <v>4.333333333333333</v>
      </c>
      <c r="M6" s="8">
        <v>3.1500000000000004</v>
      </c>
      <c r="N6" s="8">
        <v>4.25</v>
      </c>
      <c r="O6" s="8">
        <v>2.5333333333333337</v>
      </c>
      <c r="P6" s="8">
        <v>4.166666666666667</v>
      </c>
      <c r="Q6" s="8">
        <v>3.5833333333333335</v>
      </c>
    </row>
    <row r="47" spans="6:6" x14ac:dyDescent="0.35">
      <c r="F47" t="s">
        <v>61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5EE0F-033B-49AA-B8AF-A5BF2F37A762}">
  <dimension ref="A1:R40"/>
  <sheetViews>
    <sheetView topLeftCell="A10" zoomScale="55" zoomScaleNormal="55" workbookViewId="0">
      <selection activeCell="B40" sqref="B40:F40"/>
    </sheetView>
  </sheetViews>
  <sheetFormatPr defaultRowHeight="14.5" x14ac:dyDescent="0.35"/>
  <cols>
    <col min="1" max="1" width="11.453125" customWidth="1"/>
    <col min="2" max="2" width="9.7265625" customWidth="1"/>
    <col min="3" max="3" width="10.453125" customWidth="1"/>
    <col min="4" max="4" width="11.81640625" customWidth="1"/>
    <col min="5" max="5" width="12.81640625" customWidth="1"/>
    <col min="8" max="8" width="9.54296875" customWidth="1"/>
    <col min="9" max="9" width="10.54296875" customWidth="1"/>
    <col min="10" max="10" width="10.81640625" customWidth="1"/>
    <col min="11" max="11" width="14.453125" customWidth="1"/>
    <col min="12" max="12" width="9.81640625" customWidth="1"/>
    <col min="15" max="15" width="10.81640625" customWidth="1"/>
    <col min="16" max="16" width="12.26953125" customWidth="1"/>
    <col min="17" max="17" width="12.54296875" customWidth="1"/>
  </cols>
  <sheetData>
    <row r="1" spans="1:18" x14ac:dyDescent="0.35">
      <c r="A1" s="11" t="s">
        <v>22</v>
      </c>
      <c r="B1" s="20" t="s">
        <v>23</v>
      </c>
      <c r="C1" s="20"/>
      <c r="D1" s="20"/>
      <c r="E1" s="20"/>
      <c r="F1" s="20"/>
      <c r="G1" s="13"/>
      <c r="H1" s="20" t="s">
        <v>24</v>
      </c>
      <c r="I1" s="20"/>
      <c r="J1" s="20"/>
      <c r="K1" s="20"/>
      <c r="L1" s="20"/>
      <c r="M1" s="13"/>
      <c r="N1" s="20" t="s">
        <v>25</v>
      </c>
      <c r="O1" s="20"/>
      <c r="P1" s="20"/>
      <c r="Q1" s="20"/>
      <c r="R1" s="20"/>
    </row>
    <row r="2" spans="1:18" x14ac:dyDescent="0.35">
      <c r="A2" s="13"/>
      <c r="B2" s="12" t="s">
        <v>26</v>
      </c>
      <c r="C2" s="12" t="s">
        <v>27</v>
      </c>
      <c r="D2" s="12" t="s">
        <v>28</v>
      </c>
      <c r="E2" s="12" t="s">
        <v>29</v>
      </c>
      <c r="F2" s="12" t="s">
        <v>30</v>
      </c>
      <c r="G2" s="13"/>
      <c r="H2" s="12" t="s">
        <v>26</v>
      </c>
      <c r="I2" s="12" t="s">
        <v>27</v>
      </c>
      <c r="J2" s="12" t="s">
        <v>28</v>
      </c>
      <c r="K2" s="12" t="s">
        <v>29</v>
      </c>
      <c r="L2" s="12" t="s">
        <v>30</v>
      </c>
      <c r="M2" s="13"/>
      <c r="N2" s="12" t="s">
        <v>26</v>
      </c>
      <c r="O2" s="12" t="s">
        <v>27</v>
      </c>
      <c r="P2" s="12" t="s">
        <v>28</v>
      </c>
      <c r="Q2" s="12" t="s">
        <v>29</v>
      </c>
      <c r="R2" s="12" t="s">
        <v>30</v>
      </c>
    </row>
    <row r="3" spans="1:18" x14ac:dyDescent="0.35">
      <c r="A3" s="13" t="s">
        <v>31</v>
      </c>
      <c r="B3" s="14">
        <v>4</v>
      </c>
      <c r="C3" s="14">
        <v>3</v>
      </c>
      <c r="D3" s="14">
        <v>3</v>
      </c>
      <c r="E3" s="14">
        <v>3</v>
      </c>
      <c r="F3" s="14">
        <v>4</v>
      </c>
      <c r="G3" s="13"/>
      <c r="H3" s="14">
        <v>5</v>
      </c>
      <c r="I3" s="14">
        <v>5</v>
      </c>
      <c r="J3" s="14">
        <v>4</v>
      </c>
      <c r="K3" s="14">
        <v>4</v>
      </c>
      <c r="L3" s="14">
        <v>4</v>
      </c>
      <c r="M3" s="14"/>
      <c r="N3" s="14">
        <v>5</v>
      </c>
      <c r="O3" s="14">
        <v>5</v>
      </c>
      <c r="P3" s="14">
        <v>5</v>
      </c>
      <c r="Q3" s="14">
        <v>5</v>
      </c>
      <c r="R3" s="14">
        <v>5</v>
      </c>
    </row>
    <row r="4" spans="1:18" x14ac:dyDescent="0.35">
      <c r="A4" s="13" t="s">
        <v>32</v>
      </c>
      <c r="B4" s="14">
        <v>5</v>
      </c>
      <c r="C4" s="14">
        <v>5</v>
      </c>
      <c r="D4" s="14">
        <v>4</v>
      </c>
      <c r="E4" s="14">
        <v>4</v>
      </c>
      <c r="F4" s="14">
        <v>5</v>
      </c>
      <c r="G4" s="13"/>
      <c r="H4" s="14">
        <v>4</v>
      </c>
      <c r="I4" s="14">
        <v>4</v>
      </c>
      <c r="J4" s="14">
        <v>4</v>
      </c>
      <c r="K4" s="14">
        <v>4</v>
      </c>
      <c r="L4" s="14">
        <v>3</v>
      </c>
      <c r="M4" s="14"/>
      <c r="N4" s="14">
        <v>4</v>
      </c>
      <c r="O4" s="14">
        <v>5</v>
      </c>
      <c r="P4" s="14">
        <v>5</v>
      </c>
      <c r="Q4" s="14">
        <v>4</v>
      </c>
      <c r="R4" s="14">
        <v>4</v>
      </c>
    </row>
    <row r="5" spans="1:18" x14ac:dyDescent="0.35">
      <c r="A5" s="13" t="s">
        <v>33</v>
      </c>
      <c r="B5" s="14">
        <v>4</v>
      </c>
      <c r="C5" s="14">
        <v>4</v>
      </c>
      <c r="D5" s="14">
        <v>4</v>
      </c>
      <c r="E5" s="14">
        <v>4</v>
      </c>
      <c r="F5" s="14">
        <v>5</v>
      </c>
      <c r="G5" s="13"/>
      <c r="H5" s="14">
        <v>4</v>
      </c>
      <c r="I5" s="14">
        <v>4</v>
      </c>
      <c r="J5" s="14">
        <v>4</v>
      </c>
      <c r="K5" s="14">
        <v>4</v>
      </c>
      <c r="L5" s="14">
        <v>4</v>
      </c>
      <c r="M5" s="14"/>
      <c r="N5" s="14">
        <v>5</v>
      </c>
      <c r="O5" s="14">
        <v>5</v>
      </c>
      <c r="P5" s="14">
        <v>5</v>
      </c>
      <c r="Q5" s="14">
        <v>5</v>
      </c>
      <c r="R5" s="14">
        <v>5</v>
      </c>
    </row>
    <row r="6" spans="1:18" x14ac:dyDescent="0.35">
      <c r="A6" s="13" t="s">
        <v>34</v>
      </c>
      <c r="B6" s="14">
        <v>5</v>
      </c>
      <c r="C6" s="14">
        <v>5</v>
      </c>
      <c r="D6" s="14">
        <v>5</v>
      </c>
      <c r="E6" s="14">
        <v>4</v>
      </c>
      <c r="F6" s="14">
        <v>5</v>
      </c>
      <c r="G6" s="13"/>
      <c r="H6" s="14">
        <v>3</v>
      </c>
      <c r="I6" s="14">
        <v>3</v>
      </c>
      <c r="J6" s="14">
        <v>3</v>
      </c>
      <c r="K6" s="14">
        <v>3</v>
      </c>
      <c r="L6" s="14">
        <v>3</v>
      </c>
      <c r="M6" s="14"/>
      <c r="N6" s="14">
        <v>5</v>
      </c>
      <c r="O6" s="14">
        <v>5</v>
      </c>
      <c r="P6" s="14">
        <v>5</v>
      </c>
      <c r="Q6" s="14">
        <v>5</v>
      </c>
      <c r="R6" s="14">
        <v>5</v>
      </c>
    </row>
    <row r="7" spans="1:18" x14ac:dyDescent="0.35">
      <c r="A7" s="13" t="s">
        <v>35</v>
      </c>
      <c r="B7" s="14">
        <v>4</v>
      </c>
      <c r="C7" s="14">
        <v>4</v>
      </c>
      <c r="D7" s="14">
        <v>4</v>
      </c>
      <c r="E7" s="14">
        <v>4</v>
      </c>
      <c r="F7" s="14">
        <v>4</v>
      </c>
      <c r="G7" s="13"/>
      <c r="H7" s="14">
        <v>4</v>
      </c>
      <c r="I7" s="14">
        <v>4</v>
      </c>
      <c r="J7" s="14">
        <v>3</v>
      </c>
      <c r="K7" s="14">
        <v>1</v>
      </c>
      <c r="L7" s="14">
        <v>1</v>
      </c>
      <c r="M7" s="14"/>
      <c r="N7" s="14">
        <v>5</v>
      </c>
      <c r="O7" s="14">
        <v>5</v>
      </c>
      <c r="P7" s="14">
        <v>5</v>
      </c>
      <c r="Q7" s="14">
        <v>5</v>
      </c>
      <c r="R7" s="14">
        <v>5</v>
      </c>
    </row>
    <row r="8" spans="1:18" x14ac:dyDescent="0.35">
      <c r="A8" s="13" t="s">
        <v>36</v>
      </c>
      <c r="B8" s="14">
        <v>4</v>
      </c>
      <c r="C8" s="14">
        <v>3</v>
      </c>
      <c r="D8" s="14">
        <v>3</v>
      </c>
      <c r="E8" s="14">
        <v>3</v>
      </c>
      <c r="F8" s="14">
        <v>3</v>
      </c>
      <c r="G8" s="13"/>
      <c r="H8" s="14">
        <v>3</v>
      </c>
      <c r="I8" s="14">
        <v>4</v>
      </c>
      <c r="J8" s="14">
        <v>4</v>
      </c>
      <c r="K8" s="14">
        <v>4</v>
      </c>
      <c r="L8" s="14">
        <v>4</v>
      </c>
      <c r="M8" s="14"/>
      <c r="N8" s="14">
        <v>5</v>
      </c>
      <c r="O8" s="14">
        <v>5</v>
      </c>
      <c r="P8" s="14">
        <v>5</v>
      </c>
      <c r="Q8" s="14">
        <v>5</v>
      </c>
      <c r="R8" s="14">
        <v>4</v>
      </c>
    </row>
    <row r="9" spans="1:18" x14ac:dyDescent="0.35">
      <c r="A9" s="13" t="s">
        <v>37</v>
      </c>
      <c r="B9" s="14">
        <v>4</v>
      </c>
      <c r="C9" s="14">
        <v>3</v>
      </c>
      <c r="D9" s="14">
        <v>4</v>
      </c>
      <c r="E9" s="14">
        <v>4</v>
      </c>
      <c r="F9" s="14">
        <v>4</v>
      </c>
      <c r="G9" s="13"/>
      <c r="H9" s="14">
        <v>5</v>
      </c>
      <c r="I9" s="14">
        <v>5</v>
      </c>
      <c r="J9" s="14">
        <v>5</v>
      </c>
      <c r="K9" s="14">
        <v>5</v>
      </c>
      <c r="L9" s="14">
        <v>5</v>
      </c>
      <c r="M9" s="14"/>
      <c r="N9" s="14">
        <v>5</v>
      </c>
      <c r="O9" s="14">
        <v>5</v>
      </c>
      <c r="P9" s="14">
        <v>5</v>
      </c>
      <c r="Q9" s="14">
        <v>5</v>
      </c>
      <c r="R9" s="14">
        <v>5</v>
      </c>
    </row>
    <row r="10" spans="1:18" x14ac:dyDescent="0.35">
      <c r="A10" s="13" t="s">
        <v>38</v>
      </c>
      <c r="B10" s="14">
        <v>5</v>
      </c>
      <c r="C10" s="14">
        <v>5</v>
      </c>
      <c r="D10" s="14">
        <v>5</v>
      </c>
      <c r="E10" s="14">
        <v>5</v>
      </c>
      <c r="F10" s="14">
        <v>5</v>
      </c>
      <c r="G10" s="13"/>
      <c r="H10" s="14">
        <v>5</v>
      </c>
      <c r="I10" s="14">
        <v>5</v>
      </c>
      <c r="J10" s="14">
        <v>5</v>
      </c>
      <c r="K10" s="14">
        <v>5</v>
      </c>
      <c r="L10" s="14">
        <v>5</v>
      </c>
      <c r="M10" s="14"/>
      <c r="N10" s="14">
        <v>5</v>
      </c>
      <c r="O10" s="14">
        <v>5</v>
      </c>
      <c r="P10" s="14">
        <v>5</v>
      </c>
      <c r="Q10" s="14">
        <v>5</v>
      </c>
      <c r="R10" s="14">
        <v>5</v>
      </c>
    </row>
    <row r="11" spans="1:18" x14ac:dyDescent="0.35">
      <c r="A11" s="13" t="s">
        <v>39</v>
      </c>
      <c r="B11" s="14">
        <v>4</v>
      </c>
      <c r="C11" s="14">
        <v>3</v>
      </c>
      <c r="D11" s="14">
        <v>4</v>
      </c>
      <c r="E11" s="14">
        <v>5</v>
      </c>
      <c r="F11" s="14">
        <v>4</v>
      </c>
      <c r="G11" s="13"/>
      <c r="H11" s="14">
        <v>1</v>
      </c>
      <c r="I11" s="14">
        <v>2</v>
      </c>
      <c r="J11" s="14">
        <v>2</v>
      </c>
      <c r="K11" s="14">
        <v>3</v>
      </c>
      <c r="L11" s="14">
        <v>4</v>
      </c>
      <c r="M11" s="14"/>
      <c r="N11" s="14">
        <v>4</v>
      </c>
      <c r="O11" s="14">
        <v>5</v>
      </c>
      <c r="P11" s="14">
        <v>4</v>
      </c>
      <c r="Q11" s="14">
        <v>5</v>
      </c>
      <c r="R11" s="14">
        <v>4</v>
      </c>
    </row>
    <row r="12" spans="1:18" x14ac:dyDescent="0.35">
      <c r="A12" s="13" t="s">
        <v>40</v>
      </c>
      <c r="B12" s="14">
        <v>4</v>
      </c>
      <c r="C12" s="14">
        <v>4</v>
      </c>
      <c r="D12" s="14">
        <v>5</v>
      </c>
      <c r="E12" s="14">
        <v>4</v>
      </c>
      <c r="F12" s="14">
        <v>3</v>
      </c>
      <c r="G12" s="13"/>
      <c r="H12" s="14">
        <v>5</v>
      </c>
      <c r="I12" s="14">
        <v>5</v>
      </c>
      <c r="J12" s="14">
        <v>4</v>
      </c>
      <c r="K12" s="14">
        <v>4</v>
      </c>
      <c r="L12" s="14">
        <v>4</v>
      </c>
      <c r="M12" s="14"/>
      <c r="N12" s="14">
        <v>5</v>
      </c>
      <c r="O12" s="14">
        <v>5</v>
      </c>
      <c r="P12" s="14">
        <v>5</v>
      </c>
      <c r="Q12" s="14">
        <v>5</v>
      </c>
      <c r="R12" s="14">
        <v>5</v>
      </c>
    </row>
    <row r="13" spans="1:18" x14ac:dyDescent="0.35">
      <c r="A13" s="13" t="s">
        <v>41</v>
      </c>
      <c r="B13" s="14">
        <v>3</v>
      </c>
      <c r="C13" s="14">
        <v>4</v>
      </c>
      <c r="D13" s="14">
        <v>4</v>
      </c>
      <c r="E13" s="14">
        <v>4</v>
      </c>
      <c r="F13" s="14">
        <v>4</v>
      </c>
      <c r="G13" s="13"/>
      <c r="H13" s="14">
        <v>3</v>
      </c>
      <c r="I13" s="14">
        <v>3</v>
      </c>
      <c r="J13" s="14">
        <v>2</v>
      </c>
      <c r="K13" s="14">
        <v>2</v>
      </c>
      <c r="L13" s="14">
        <v>2</v>
      </c>
      <c r="M13" s="14"/>
      <c r="N13" s="14">
        <v>5</v>
      </c>
      <c r="O13" s="14">
        <v>5</v>
      </c>
      <c r="P13" s="14">
        <v>5</v>
      </c>
      <c r="Q13" s="14">
        <v>5</v>
      </c>
      <c r="R13" s="14">
        <v>5</v>
      </c>
    </row>
    <row r="14" spans="1:18" x14ac:dyDescent="0.35">
      <c r="A14" s="13" t="s">
        <v>42</v>
      </c>
      <c r="B14" s="14">
        <v>4</v>
      </c>
      <c r="C14" s="14">
        <v>3</v>
      </c>
      <c r="D14" s="14">
        <v>4</v>
      </c>
      <c r="E14" s="14">
        <v>3</v>
      </c>
      <c r="F14" s="14">
        <v>4</v>
      </c>
      <c r="G14" s="13"/>
      <c r="H14" s="14">
        <v>4</v>
      </c>
      <c r="I14" s="14">
        <v>4</v>
      </c>
      <c r="J14" s="14">
        <v>4</v>
      </c>
      <c r="K14" s="14">
        <v>4</v>
      </c>
      <c r="L14" s="14">
        <v>4</v>
      </c>
      <c r="M14" s="14"/>
      <c r="N14" s="14">
        <v>4</v>
      </c>
      <c r="O14" s="14">
        <v>5</v>
      </c>
      <c r="P14" s="14">
        <v>5</v>
      </c>
      <c r="Q14" s="14">
        <v>5</v>
      </c>
      <c r="R14" s="14">
        <v>5</v>
      </c>
    </row>
    <row r="15" spans="1:18" x14ac:dyDescent="0.35">
      <c r="A15" s="13" t="s">
        <v>43</v>
      </c>
      <c r="B15" s="14">
        <v>2</v>
      </c>
      <c r="C15" s="14">
        <v>2</v>
      </c>
      <c r="D15" s="14">
        <v>2</v>
      </c>
      <c r="E15" s="14">
        <v>2</v>
      </c>
      <c r="F15" s="14">
        <v>2</v>
      </c>
      <c r="G15" s="13"/>
      <c r="H15" s="14">
        <v>4</v>
      </c>
      <c r="I15" s="14">
        <v>4</v>
      </c>
      <c r="J15" s="14">
        <v>4</v>
      </c>
      <c r="K15" s="14">
        <v>4</v>
      </c>
      <c r="L15" s="14">
        <v>4</v>
      </c>
      <c r="M15" s="14"/>
      <c r="N15" s="14">
        <v>5</v>
      </c>
      <c r="O15" s="14">
        <v>5</v>
      </c>
      <c r="P15" s="14">
        <v>5</v>
      </c>
      <c r="Q15" s="14">
        <v>5</v>
      </c>
      <c r="R15" s="14">
        <v>5</v>
      </c>
    </row>
    <row r="16" spans="1:18" x14ac:dyDescent="0.35">
      <c r="A16" s="13" t="s">
        <v>44</v>
      </c>
      <c r="B16" s="14">
        <v>4</v>
      </c>
      <c r="C16" s="14">
        <v>3</v>
      </c>
      <c r="D16" s="14">
        <v>3</v>
      </c>
      <c r="E16" s="14">
        <v>3</v>
      </c>
      <c r="F16" s="14">
        <v>3</v>
      </c>
      <c r="G16" s="13"/>
      <c r="H16" s="14">
        <v>4</v>
      </c>
      <c r="I16" s="14">
        <v>4</v>
      </c>
      <c r="J16" s="14">
        <v>4</v>
      </c>
      <c r="K16" s="14">
        <v>4</v>
      </c>
      <c r="L16" s="14">
        <v>4</v>
      </c>
      <c r="M16" s="14"/>
      <c r="N16" s="14">
        <v>4</v>
      </c>
      <c r="O16" s="14">
        <v>5</v>
      </c>
      <c r="P16" s="14">
        <v>4</v>
      </c>
      <c r="Q16" s="14">
        <v>3</v>
      </c>
      <c r="R16" s="14">
        <v>4</v>
      </c>
    </row>
    <row r="17" spans="1:18" x14ac:dyDescent="0.35">
      <c r="A17" s="13" t="s">
        <v>45</v>
      </c>
      <c r="B17" s="14">
        <v>3</v>
      </c>
      <c r="C17" s="14">
        <v>3</v>
      </c>
      <c r="D17" s="14">
        <v>3</v>
      </c>
      <c r="E17" s="14">
        <v>3</v>
      </c>
      <c r="F17" s="14">
        <v>3</v>
      </c>
      <c r="G17" s="13"/>
      <c r="H17" s="14">
        <v>3</v>
      </c>
      <c r="I17" s="14">
        <v>3</v>
      </c>
      <c r="J17" s="14">
        <v>3</v>
      </c>
      <c r="K17" s="14">
        <v>3</v>
      </c>
      <c r="L17" s="14">
        <v>3</v>
      </c>
      <c r="M17" s="14"/>
      <c r="N17" s="14">
        <v>4</v>
      </c>
      <c r="O17" s="14">
        <v>5</v>
      </c>
      <c r="P17" s="14">
        <v>4</v>
      </c>
      <c r="Q17" s="14">
        <v>3</v>
      </c>
      <c r="R17" s="14">
        <v>4</v>
      </c>
    </row>
    <row r="18" spans="1:18" x14ac:dyDescent="0.35">
      <c r="A18" s="13" t="s">
        <v>46</v>
      </c>
      <c r="B18" s="15">
        <f>SUM(B3:B17)/15</f>
        <v>3.9333333333333331</v>
      </c>
      <c r="C18" s="15">
        <f t="shared" ref="C18:F18" si="0">SUM(C3:C17)/15</f>
        <v>3.6</v>
      </c>
      <c r="D18" s="15">
        <f t="shared" si="0"/>
        <v>3.8</v>
      </c>
      <c r="E18" s="15">
        <f t="shared" si="0"/>
        <v>3.6666666666666665</v>
      </c>
      <c r="F18" s="15">
        <f t="shared" si="0"/>
        <v>3.8666666666666667</v>
      </c>
      <c r="G18" s="15"/>
      <c r="H18" s="15">
        <f t="shared" ref="H18" si="1">SUM(H3:H17)/15</f>
        <v>3.8</v>
      </c>
      <c r="I18" s="15">
        <f t="shared" ref="I18" si="2">SUM(I3:I17)/15</f>
        <v>3.9333333333333331</v>
      </c>
      <c r="J18" s="15">
        <f t="shared" ref="J18" si="3">SUM(J3:J17)/15</f>
        <v>3.6666666666666665</v>
      </c>
      <c r="K18" s="15">
        <f t="shared" ref="K18:L18" si="4">SUM(K3:K17)/15</f>
        <v>3.6</v>
      </c>
      <c r="L18" s="15">
        <f t="shared" si="4"/>
        <v>3.6</v>
      </c>
      <c r="M18" s="15"/>
      <c r="N18" s="15">
        <f t="shared" ref="N18" si="5">SUM(N3:N17)/15</f>
        <v>4.666666666666667</v>
      </c>
      <c r="O18" s="15">
        <f t="shared" ref="O18" si="6">SUM(O3:O17)/15</f>
        <v>5</v>
      </c>
      <c r="P18" s="15">
        <f t="shared" ref="P18:Q18" si="7">SUM(P3:P17)/15</f>
        <v>4.8</v>
      </c>
      <c r="Q18" s="15">
        <f t="shared" si="7"/>
        <v>4.666666666666667</v>
      </c>
      <c r="R18" s="15">
        <f t="shared" ref="R18" si="8">SUM(R3:R17)/15</f>
        <v>4.666666666666667</v>
      </c>
    </row>
    <row r="19" spans="1:18" x14ac:dyDescent="0.35">
      <c r="A19" s="13" t="s">
        <v>47</v>
      </c>
      <c r="B19" s="15">
        <f>(B18+H18+N18)/3</f>
        <v>4.1333333333333329</v>
      </c>
      <c r="C19" s="15">
        <f t="shared" ref="C19:F19" si="9">(C18+I18+O18)/3</f>
        <v>4.177777777777778</v>
      </c>
      <c r="D19" s="15">
        <f t="shared" si="9"/>
        <v>4.0888888888888886</v>
      </c>
      <c r="E19" s="15">
        <f t="shared" si="9"/>
        <v>3.9777777777777779</v>
      </c>
      <c r="F19" s="15">
        <f t="shared" si="9"/>
        <v>4.0444444444444443</v>
      </c>
      <c r="G19" s="13"/>
      <c r="H19" s="14"/>
      <c r="I19" s="14"/>
      <c r="J19" s="14"/>
      <c r="K19" s="14"/>
      <c r="L19" s="14"/>
      <c r="M19" s="14"/>
      <c r="N19" s="14"/>
      <c r="O19" s="14"/>
      <c r="P19" s="14"/>
      <c r="Q19" s="14"/>
      <c r="R19" s="14"/>
    </row>
    <row r="20" spans="1:18" x14ac:dyDescent="0.35">
      <c r="B20" s="2"/>
      <c r="C20" s="2"/>
      <c r="D20" s="2"/>
      <c r="E20" s="2"/>
      <c r="F20" s="2"/>
    </row>
    <row r="22" spans="1:18" x14ac:dyDescent="0.35">
      <c r="A22" s="1" t="s">
        <v>48</v>
      </c>
      <c r="B22" s="21" t="s">
        <v>23</v>
      </c>
      <c r="C22" s="21"/>
      <c r="D22" s="21"/>
      <c r="E22" s="21"/>
      <c r="F22" s="21"/>
      <c r="H22" s="21" t="s">
        <v>24</v>
      </c>
      <c r="I22" s="21"/>
      <c r="J22" s="21"/>
      <c r="K22" s="21"/>
      <c r="L22" s="21"/>
      <c r="N22" s="21" t="s">
        <v>25</v>
      </c>
      <c r="O22" s="21"/>
      <c r="P22" s="21"/>
      <c r="Q22" s="21"/>
      <c r="R22" s="21"/>
    </row>
    <row r="23" spans="1:18" x14ac:dyDescent="0.35">
      <c r="B23" s="3" t="s">
        <v>26</v>
      </c>
      <c r="C23" s="3" t="s">
        <v>27</v>
      </c>
      <c r="D23" s="3" t="s">
        <v>28</v>
      </c>
      <c r="E23" s="3" t="s">
        <v>29</v>
      </c>
      <c r="F23" s="3" t="s">
        <v>30</v>
      </c>
      <c r="H23" s="3" t="s">
        <v>26</v>
      </c>
      <c r="I23" s="3" t="s">
        <v>27</v>
      </c>
      <c r="J23" s="3" t="s">
        <v>28</v>
      </c>
      <c r="K23" s="3" t="s">
        <v>29</v>
      </c>
      <c r="L23" s="3" t="s">
        <v>30</v>
      </c>
      <c r="N23" s="3" t="s">
        <v>26</v>
      </c>
      <c r="O23" s="3" t="s">
        <v>27</v>
      </c>
      <c r="P23" s="3" t="s">
        <v>28</v>
      </c>
      <c r="Q23" s="3" t="s">
        <v>29</v>
      </c>
      <c r="R23" s="3" t="s">
        <v>30</v>
      </c>
    </row>
    <row r="24" spans="1:18" x14ac:dyDescent="0.35">
      <c r="A24" t="s">
        <v>31</v>
      </c>
      <c r="B24" s="2">
        <v>1</v>
      </c>
      <c r="C24" s="2">
        <v>1</v>
      </c>
      <c r="D24" s="2">
        <v>1</v>
      </c>
      <c r="E24" s="2">
        <v>1</v>
      </c>
      <c r="F24" s="2">
        <v>1</v>
      </c>
      <c r="H24" s="2">
        <v>2</v>
      </c>
      <c r="I24" s="2">
        <v>2</v>
      </c>
      <c r="J24" s="2">
        <v>1</v>
      </c>
      <c r="K24" s="2">
        <v>1</v>
      </c>
      <c r="L24" s="2">
        <v>1</v>
      </c>
      <c r="M24" s="2"/>
      <c r="N24" s="2">
        <v>2</v>
      </c>
      <c r="O24" s="2">
        <v>5</v>
      </c>
      <c r="P24" s="2">
        <v>5</v>
      </c>
      <c r="Q24" s="2">
        <v>1</v>
      </c>
      <c r="R24" s="2">
        <v>2</v>
      </c>
    </row>
    <row r="25" spans="1:18" x14ac:dyDescent="0.35">
      <c r="A25" t="s">
        <v>32</v>
      </c>
      <c r="B25" s="2">
        <v>2</v>
      </c>
      <c r="C25" s="2">
        <v>2</v>
      </c>
      <c r="D25" s="2">
        <v>2</v>
      </c>
      <c r="E25" s="2">
        <v>1</v>
      </c>
      <c r="F25" s="2">
        <v>2</v>
      </c>
      <c r="H25" s="2">
        <v>1</v>
      </c>
      <c r="I25" s="2">
        <v>1</v>
      </c>
      <c r="J25" s="2">
        <v>1</v>
      </c>
      <c r="K25" s="2">
        <v>1</v>
      </c>
      <c r="L25" s="2">
        <v>1</v>
      </c>
      <c r="M25" s="2"/>
      <c r="N25" s="2">
        <v>4</v>
      </c>
      <c r="O25" s="2">
        <v>5</v>
      </c>
      <c r="P25" s="2">
        <v>4</v>
      </c>
      <c r="Q25" s="2">
        <v>3</v>
      </c>
      <c r="R25" s="2">
        <v>5</v>
      </c>
    </row>
    <row r="26" spans="1:18" x14ac:dyDescent="0.35">
      <c r="A26" t="s">
        <v>33</v>
      </c>
      <c r="B26" s="2">
        <v>1</v>
      </c>
      <c r="C26" s="2">
        <v>3</v>
      </c>
      <c r="D26" s="2">
        <v>2</v>
      </c>
      <c r="E26" s="2">
        <v>1</v>
      </c>
      <c r="F26" s="2">
        <v>2</v>
      </c>
      <c r="H26" s="2">
        <v>1</v>
      </c>
      <c r="I26" s="2">
        <v>1</v>
      </c>
      <c r="J26" s="2">
        <v>1</v>
      </c>
      <c r="K26" s="2">
        <v>1</v>
      </c>
      <c r="L26" s="2">
        <v>1</v>
      </c>
      <c r="M26" s="2"/>
      <c r="N26" s="2">
        <v>3</v>
      </c>
      <c r="O26" s="2">
        <v>5</v>
      </c>
      <c r="P26" s="2">
        <v>5</v>
      </c>
      <c r="Q26" s="2">
        <v>3</v>
      </c>
      <c r="R26" s="2">
        <v>5</v>
      </c>
    </row>
    <row r="27" spans="1:18" x14ac:dyDescent="0.35">
      <c r="A27" t="s">
        <v>34</v>
      </c>
      <c r="B27" s="2">
        <v>1</v>
      </c>
      <c r="C27" s="2">
        <v>2</v>
      </c>
      <c r="D27" s="2">
        <v>2</v>
      </c>
      <c r="E27" s="2">
        <v>1</v>
      </c>
      <c r="F27" s="2">
        <v>1</v>
      </c>
      <c r="H27" s="2">
        <v>1</v>
      </c>
      <c r="I27" s="2">
        <v>1</v>
      </c>
      <c r="J27" s="2">
        <v>1</v>
      </c>
      <c r="K27" s="2">
        <v>1</v>
      </c>
      <c r="L27" s="2">
        <v>1</v>
      </c>
      <c r="M27" s="2"/>
      <c r="N27" s="2">
        <v>3</v>
      </c>
      <c r="O27" s="2">
        <v>5</v>
      </c>
      <c r="P27" s="2">
        <v>3</v>
      </c>
      <c r="Q27" s="2">
        <v>3</v>
      </c>
      <c r="R27" s="2">
        <v>3</v>
      </c>
    </row>
    <row r="28" spans="1:18" x14ac:dyDescent="0.35">
      <c r="A28" t="s">
        <v>35</v>
      </c>
      <c r="B28" s="2">
        <v>2</v>
      </c>
      <c r="C28" s="2">
        <v>3</v>
      </c>
      <c r="D28" s="2">
        <v>3</v>
      </c>
      <c r="E28" s="2">
        <v>3</v>
      </c>
      <c r="F28" s="2">
        <v>2</v>
      </c>
      <c r="H28" s="2">
        <v>4</v>
      </c>
      <c r="I28" s="2">
        <v>4</v>
      </c>
      <c r="J28" s="2">
        <v>3</v>
      </c>
      <c r="K28" s="2">
        <v>1</v>
      </c>
      <c r="L28" s="2">
        <v>1</v>
      </c>
      <c r="M28" s="2"/>
      <c r="N28" s="2">
        <v>4</v>
      </c>
      <c r="O28" s="2">
        <v>5</v>
      </c>
      <c r="P28" s="2">
        <v>5</v>
      </c>
      <c r="Q28" s="2">
        <v>4</v>
      </c>
      <c r="R28" s="2">
        <v>3</v>
      </c>
    </row>
    <row r="29" spans="1:18" x14ac:dyDescent="0.35">
      <c r="A29" t="s">
        <v>36</v>
      </c>
      <c r="B29" s="2">
        <v>1</v>
      </c>
      <c r="C29" s="2">
        <v>1</v>
      </c>
      <c r="D29" s="2">
        <v>1</v>
      </c>
      <c r="E29" s="2">
        <v>1</v>
      </c>
      <c r="F29" s="2">
        <v>1</v>
      </c>
      <c r="H29" s="2">
        <v>2</v>
      </c>
      <c r="I29" s="2">
        <v>5</v>
      </c>
      <c r="J29" s="2">
        <v>5</v>
      </c>
      <c r="K29" s="2">
        <v>1</v>
      </c>
      <c r="L29" s="2">
        <v>1</v>
      </c>
      <c r="M29" s="2"/>
      <c r="N29" s="2">
        <v>4</v>
      </c>
      <c r="O29" s="2">
        <v>5</v>
      </c>
      <c r="P29" s="2">
        <v>4</v>
      </c>
      <c r="Q29" s="2">
        <v>2</v>
      </c>
      <c r="R29" s="2">
        <v>2</v>
      </c>
    </row>
    <row r="30" spans="1:18" x14ac:dyDescent="0.35">
      <c r="A30" t="s">
        <v>37</v>
      </c>
      <c r="B30" s="2">
        <v>4</v>
      </c>
      <c r="C30" s="2">
        <v>4</v>
      </c>
      <c r="D30" s="2">
        <v>4</v>
      </c>
      <c r="E30" s="2">
        <v>4</v>
      </c>
      <c r="F30" s="2">
        <v>4</v>
      </c>
      <c r="H30" s="2">
        <v>5</v>
      </c>
      <c r="I30" s="2">
        <v>5</v>
      </c>
      <c r="J30" s="2">
        <v>5</v>
      </c>
      <c r="K30" s="2">
        <v>1</v>
      </c>
      <c r="L30" s="2">
        <v>1</v>
      </c>
      <c r="M30" s="2"/>
      <c r="N30" s="2">
        <v>5</v>
      </c>
      <c r="O30" s="2">
        <v>5</v>
      </c>
      <c r="P30" s="2">
        <v>5</v>
      </c>
      <c r="Q30" s="2">
        <v>4</v>
      </c>
      <c r="R30" s="2">
        <v>5</v>
      </c>
    </row>
    <row r="31" spans="1:18" x14ac:dyDescent="0.35">
      <c r="A31" t="s">
        <v>38</v>
      </c>
      <c r="B31" s="2">
        <v>4</v>
      </c>
      <c r="C31" s="2">
        <v>4</v>
      </c>
      <c r="D31" s="2">
        <v>4</v>
      </c>
      <c r="E31" s="2">
        <v>4</v>
      </c>
      <c r="F31" s="2">
        <v>4</v>
      </c>
      <c r="H31" s="2">
        <v>4</v>
      </c>
      <c r="I31" s="2">
        <v>5</v>
      </c>
      <c r="J31" s="2">
        <v>5</v>
      </c>
      <c r="K31" s="2">
        <v>1</v>
      </c>
      <c r="L31" s="2">
        <v>1</v>
      </c>
      <c r="M31" s="2"/>
      <c r="N31" s="2">
        <v>4</v>
      </c>
      <c r="O31" s="2">
        <v>5</v>
      </c>
      <c r="P31" s="2">
        <v>3</v>
      </c>
      <c r="Q31" s="2">
        <v>3</v>
      </c>
      <c r="R31" s="2">
        <v>3</v>
      </c>
    </row>
    <row r="32" spans="1:18" x14ac:dyDescent="0.35">
      <c r="A32" t="s">
        <v>39</v>
      </c>
      <c r="B32" s="2">
        <v>4</v>
      </c>
      <c r="C32" s="2">
        <v>4</v>
      </c>
      <c r="D32" s="2">
        <v>4</v>
      </c>
      <c r="E32" s="2">
        <v>4</v>
      </c>
      <c r="F32" s="2">
        <v>4</v>
      </c>
      <c r="H32" s="2">
        <v>5</v>
      </c>
      <c r="I32" s="2">
        <v>5</v>
      </c>
      <c r="J32" s="2">
        <v>5</v>
      </c>
      <c r="K32" s="2">
        <v>3</v>
      </c>
      <c r="L32" s="2">
        <v>3</v>
      </c>
      <c r="M32" s="2"/>
      <c r="N32" s="2">
        <v>5</v>
      </c>
      <c r="O32" s="2">
        <v>5</v>
      </c>
      <c r="P32" s="2">
        <v>5</v>
      </c>
      <c r="Q32" s="2">
        <v>4</v>
      </c>
      <c r="R32" s="2">
        <v>4</v>
      </c>
    </row>
    <row r="33" spans="1:18" x14ac:dyDescent="0.35">
      <c r="A33" t="s">
        <v>40</v>
      </c>
      <c r="B33" s="2">
        <v>3</v>
      </c>
      <c r="C33" s="2">
        <v>4</v>
      </c>
      <c r="D33" s="2">
        <v>4</v>
      </c>
      <c r="E33" s="2">
        <v>3</v>
      </c>
      <c r="F33" s="2">
        <v>4</v>
      </c>
      <c r="H33" s="2">
        <v>4</v>
      </c>
      <c r="I33" s="2">
        <v>4</v>
      </c>
      <c r="J33" s="2">
        <v>4</v>
      </c>
      <c r="K33" s="2">
        <v>2</v>
      </c>
      <c r="L33" s="2">
        <v>2</v>
      </c>
      <c r="M33" s="2"/>
      <c r="N33" s="2">
        <v>5</v>
      </c>
      <c r="O33" s="2">
        <v>5</v>
      </c>
      <c r="P33" s="2">
        <v>5</v>
      </c>
      <c r="Q33" s="2">
        <v>4</v>
      </c>
      <c r="R33" s="2">
        <v>4</v>
      </c>
    </row>
    <row r="34" spans="1:18" x14ac:dyDescent="0.35">
      <c r="A34" t="s">
        <v>41</v>
      </c>
      <c r="B34" s="2">
        <v>1</v>
      </c>
      <c r="C34" s="2">
        <v>1</v>
      </c>
      <c r="D34" s="2">
        <v>1</v>
      </c>
      <c r="E34" s="2">
        <v>1</v>
      </c>
      <c r="F34" s="2">
        <v>3</v>
      </c>
      <c r="H34" s="2">
        <v>3</v>
      </c>
      <c r="I34" s="2">
        <v>3</v>
      </c>
      <c r="J34" s="2">
        <v>3</v>
      </c>
      <c r="K34" s="2">
        <v>1</v>
      </c>
      <c r="L34" s="2">
        <v>1</v>
      </c>
      <c r="M34" s="2"/>
      <c r="N34" s="2">
        <v>3</v>
      </c>
      <c r="O34" s="2">
        <v>5</v>
      </c>
      <c r="P34" s="2">
        <v>4</v>
      </c>
      <c r="Q34" s="2">
        <v>3</v>
      </c>
      <c r="R34" s="2">
        <v>3</v>
      </c>
    </row>
    <row r="35" spans="1:18" x14ac:dyDescent="0.35">
      <c r="A35" t="s">
        <v>42</v>
      </c>
      <c r="B35" s="2">
        <v>3</v>
      </c>
      <c r="C35" s="2">
        <v>4</v>
      </c>
      <c r="D35" s="2">
        <v>3</v>
      </c>
      <c r="E35" s="2">
        <v>3</v>
      </c>
      <c r="F35" s="2">
        <v>4</v>
      </c>
      <c r="H35" s="2">
        <v>2</v>
      </c>
      <c r="I35" s="2">
        <v>4</v>
      </c>
      <c r="J35" s="2">
        <v>4</v>
      </c>
      <c r="K35" s="2">
        <v>2</v>
      </c>
      <c r="L35" s="2">
        <v>2</v>
      </c>
      <c r="M35" s="2"/>
      <c r="N35" s="2">
        <v>4</v>
      </c>
      <c r="O35" s="2">
        <v>5</v>
      </c>
      <c r="P35" s="2">
        <v>4</v>
      </c>
      <c r="Q35" s="2">
        <v>3</v>
      </c>
      <c r="R35" s="2">
        <v>4</v>
      </c>
    </row>
    <row r="36" spans="1:18" x14ac:dyDescent="0.35">
      <c r="A36" t="s">
        <v>43</v>
      </c>
      <c r="B36" s="2">
        <v>1</v>
      </c>
      <c r="C36" s="2">
        <v>1</v>
      </c>
      <c r="D36" s="2">
        <v>1</v>
      </c>
      <c r="E36" s="2">
        <v>1</v>
      </c>
      <c r="F36" s="2">
        <v>1</v>
      </c>
      <c r="H36" s="2">
        <v>4</v>
      </c>
      <c r="I36" s="2">
        <v>4</v>
      </c>
      <c r="J36" s="2">
        <v>4</v>
      </c>
      <c r="K36" s="2">
        <v>4</v>
      </c>
      <c r="L36" s="2">
        <v>4</v>
      </c>
      <c r="M36" s="2"/>
      <c r="N36" s="2">
        <v>1</v>
      </c>
      <c r="O36" s="2">
        <v>1</v>
      </c>
      <c r="P36" s="2">
        <v>1</v>
      </c>
      <c r="Q36" s="2">
        <v>1</v>
      </c>
      <c r="R36" s="2">
        <v>1</v>
      </c>
    </row>
    <row r="37" spans="1:18" x14ac:dyDescent="0.35">
      <c r="A37" t="s">
        <v>44</v>
      </c>
      <c r="B37" s="2">
        <v>1</v>
      </c>
      <c r="C37" s="2">
        <v>1</v>
      </c>
      <c r="D37" s="2">
        <v>1</v>
      </c>
      <c r="E37" s="2">
        <v>1</v>
      </c>
      <c r="F37" s="2">
        <v>2</v>
      </c>
      <c r="H37" s="2">
        <v>4</v>
      </c>
      <c r="I37" s="2">
        <v>4</v>
      </c>
      <c r="J37" s="2">
        <v>4</v>
      </c>
      <c r="K37" s="2">
        <v>3</v>
      </c>
      <c r="L37" s="2">
        <v>3</v>
      </c>
      <c r="M37" s="2"/>
      <c r="N37" s="2">
        <v>1</v>
      </c>
      <c r="O37" s="2">
        <v>1</v>
      </c>
      <c r="P37" s="2">
        <v>1</v>
      </c>
      <c r="Q37" s="2">
        <v>1</v>
      </c>
      <c r="R37" s="2">
        <v>1</v>
      </c>
    </row>
    <row r="38" spans="1:18" x14ac:dyDescent="0.35">
      <c r="A38" t="s">
        <v>45</v>
      </c>
      <c r="B38" s="2">
        <v>1</v>
      </c>
      <c r="C38" s="2">
        <v>1</v>
      </c>
      <c r="D38" s="2">
        <v>1</v>
      </c>
      <c r="E38" s="2">
        <v>1</v>
      </c>
      <c r="F38" s="2">
        <v>2</v>
      </c>
      <c r="H38" s="2">
        <v>4</v>
      </c>
      <c r="I38" s="2">
        <v>4</v>
      </c>
      <c r="J38" s="2">
        <v>4</v>
      </c>
      <c r="K38" s="2">
        <v>4</v>
      </c>
      <c r="L38" s="2">
        <v>4</v>
      </c>
      <c r="M38" s="2"/>
      <c r="N38" s="2">
        <v>1</v>
      </c>
      <c r="O38" s="2">
        <v>1</v>
      </c>
      <c r="P38" s="2">
        <v>1</v>
      </c>
      <c r="Q38" s="2">
        <v>1</v>
      </c>
      <c r="R38" s="2">
        <v>1</v>
      </c>
    </row>
    <row r="39" spans="1:18" x14ac:dyDescent="0.35">
      <c r="A39" t="s">
        <v>46</v>
      </c>
      <c r="B39" s="7">
        <f>SUM(B24:B38)/15</f>
        <v>2</v>
      </c>
      <c r="C39" s="7">
        <f t="shared" ref="C39" si="10">SUM(C24:C38)/15</f>
        <v>2.4</v>
      </c>
      <c r="D39" s="7">
        <f t="shared" ref="D39" si="11">SUM(D24:D38)/15</f>
        <v>2.2666666666666666</v>
      </c>
      <c r="E39" s="7">
        <f t="shared" ref="E39" si="12">SUM(E24:E38)/15</f>
        <v>2</v>
      </c>
      <c r="F39" s="7">
        <f t="shared" ref="F39" si="13">SUM(F24:F38)/15</f>
        <v>2.4666666666666668</v>
      </c>
      <c r="G39" s="7"/>
      <c r="H39" s="7">
        <f t="shared" ref="H39" si="14">SUM(H24:H38)/15</f>
        <v>3.0666666666666669</v>
      </c>
      <c r="I39" s="7">
        <f t="shared" ref="I39" si="15">SUM(I24:I38)/15</f>
        <v>3.4666666666666668</v>
      </c>
      <c r="J39" s="7">
        <f t="shared" ref="J39" si="16">SUM(J24:J38)/15</f>
        <v>3.3333333333333335</v>
      </c>
      <c r="K39" s="7">
        <f t="shared" ref="K39" si="17">SUM(K24:K38)/15</f>
        <v>1.8</v>
      </c>
      <c r="L39" s="7">
        <f t="shared" ref="L39" si="18">SUM(L24:L38)/15</f>
        <v>1.8</v>
      </c>
      <c r="M39" s="7"/>
      <c r="N39" s="7">
        <f t="shared" ref="N39" si="19">SUM(N24:N38)/15</f>
        <v>3.2666666666666666</v>
      </c>
      <c r="O39" s="7">
        <f t="shared" ref="O39" si="20">SUM(O24:O38)/15</f>
        <v>4.2</v>
      </c>
      <c r="P39" s="7">
        <f t="shared" ref="P39" si="21">SUM(P24:P38)/15</f>
        <v>3.6666666666666665</v>
      </c>
      <c r="Q39" s="7">
        <f t="shared" ref="Q39" si="22">SUM(Q24:Q38)/15</f>
        <v>2.6666666666666665</v>
      </c>
      <c r="R39" s="7">
        <f t="shared" ref="R39" si="23">SUM(R24:R38)/15</f>
        <v>3.0666666666666669</v>
      </c>
    </row>
    <row r="40" spans="1:18" x14ac:dyDescent="0.35">
      <c r="A40" t="s">
        <v>47</v>
      </c>
      <c r="B40" s="7">
        <f>(B39+H39+N39)/3</f>
        <v>2.7777777777777772</v>
      </c>
      <c r="C40" s="7">
        <f t="shared" ref="C40" si="24">(C39+I39+O39)/3</f>
        <v>3.3555555555555556</v>
      </c>
      <c r="D40" s="7">
        <f t="shared" ref="D40" si="25">(D39+J39+P39)/3</f>
        <v>3.0888888888888886</v>
      </c>
      <c r="E40" s="7">
        <f t="shared" ref="E40" si="26">(E39+K39+Q39)/3</f>
        <v>2.1555555555555554</v>
      </c>
      <c r="F40" s="7">
        <f t="shared" ref="F40" si="27">(F39+L39+R39)/3</f>
        <v>2.4444444444444446</v>
      </c>
      <c r="H40" s="2"/>
      <c r="I40" s="2"/>
      <c r="J40" s="2"/>
      <c r="K40" s="2"/>
      <c r="L40" s="2"/>
      <c r="M40" s="2"/>
      <c r="N40" s="2"/>
      <c r="O40" s="2"/>
      <c r="P40" s="2"/>
      <c r="Q40" s="2"/>
      <c r="R40" s="2"/>
    </row>
  </sheetData>
  <mergeCells count="6">
    <mergeCell ref="B1:F1"/>
    <mergeCell ref="H1:L1"/>
    <mergeCell ref="B22:F22"/>
    <mergeCell ref="H22:L22"/>
    <mergeCell ref="N1:R1"/>
    <mergeCell ref="N22:R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50495-7166-4A38-B938-6B4C60CC726F}">
  <dimension ref="A1:S54"/>
  <sheetViews>
    <sheetView topLeftCell="A42" zoomScale="85" zoomScaleNormal="85" workbookViewId="0">
      <selection activeCell="B54" sqref="B54:F54"/>
    </sheetView>
  </sheetViews>
  <sheetFormatPr defaultRowHeight="14.5" x14ac:dyDescent="0.35"/>
  <sheetData>
    <row r="1" spans="1:19" x14ac:dyDescent="0.35">
      <c r="A1" s="3" t="s">
        <v>22</v>
      </c>
      <c r="B1" s="20" t="s">
        <v>23</v>
      </c>
      <c r="C1" s="20"/>
      <c r="D1" s="20"/>
      <c r="E1" s="20"/>
      <c r="F1" s="20"/>
      <c r="G1" s="14"/>
      <c r="H1" s="20" t="s">
        <v>24</v>
      </c>
      <c r="I1" s="20"/>
      <c r="J1" s="20"/>
      <c r="K1" s="20"/>
      <c r="L1" s="20"/>
      <c r="M1" s="2"/>
      <c r="N1" s="21" t="s">
        <v>25</v>
      </c>
      <c r="O1" s="21"/>
      <c r="P1" s="21"/>
      <c r="Q1" s="21"/>
      <c r="R1" s="21"/>
      <c r="S1" s="2"/>
    </row>
    <row r="2" spans="1:19" x14ac:dyDescent="0.35">
      <c r="A2" s="2"/>
      <c r="B2" s="12" t="s">
        <v>26</v>
      </c>
      <c r="C2" s="12" t="s">
        <v>27</v>
      </c>
      <c r="D2" s="12" t="s">
        <v>28</v>
      </c>
      <c r="E2" s="12" t="s">
        <v>29</v>
      </c>
      <c r="F2" s="12" t="s">
        <v>30</v>
      </c>
      <c r="G2" s="14"/>
      <c r="H2" s="12" t="s">
        <v>26</v>
      </c>
      <c r="I2" s="12" t="s">
        <v>27</v>
      </c>
      <c r="J2" s="12" t="s">
        <v>28</v>
      </c>
      <c r="K2" s="12" t="s">
        <v>29</v>
      </c>
      <c r="L2" s="12" t="s">
        <v>30</v>
      </c>
      <c r="M2" s="2"/>
      <c r="N2" s="3" t="s">
        <v>26</v>
      </c>
      <c r="O2" s="3" t="s">
        <v>27</v>
      </c>
      <c r="P2" s="3" t="s">
        <v>28</v>
      </c>
      <c r="Q2" s="3" t="s">
        <v>29</v>
      </c>
      <c r="R2" s="3" t="s">
        <v>30</v>
      </c>
      <c r="S2" s="2"/>
    </row>
    <row r="3" spans="1:19" x14ac:dyDescent="0.35">
      <c r="A3" s="2" t="s">
        <v>31</v>
      </c>
      <c r="B3" s="14">
        <v>4</v>
      </c>
      <c r="C3" s="14">
        <v>4</v>
      </c>
      <c r="D3" s="14">
        <v>4</v>
      </c>
      <c r="E3" s="14">
        <v>4</v>
      </c>
      <c r="F3" s="14">
        <v>5</v>
      </c>
      <c r="G3" s="14"/>
      <c r="H3" s="14">
        <v>4</v>
      </c>
      <c r="I3" s="14">
        <v>4</v>
      </c>
      <c r="J3" s="14">
        <v>5</v>
      </c>
      <c r="K3" s="14">
        <v>5</v>
      </c>
      <c r="L3" s="14">
        <v>5</v>
      </c>
      <c r="M3" s="2"/>
      <c r="N3" s="2">
        <v>5</v>
      </c>
      <c r="O3" s="2">
        <v>5</v>
      </c>
      <c r="P3" s="2">
        <v>5</v>
      </c>
      <c r="Q3" s="2">
        <v>5</v>
      </c>
      <c r="R3" s="2">
        <v>3</v>
      </c>
      <c r="S3" s="2"/>
    </row>
    <row r="4" spans="1:19" x14ac:dyDescent="0.35">
      <c r="A4" s="2" t="s">
        <v>32</v>
      </c>
      <c r="B4" s="14">
        <v>5</v>
      </c>
      <c r="C4" s="14">
        <v>5</v>
      </c>
      <c r="D4" s="14">
        <v>5</v>
      </c>
      <c r="E4" s="14">
        <v>5</v>
      </c>
      <c r="F4" s="14">
        <v>5</v>
      </c>
      <c r="G4" s="14"/>
      <c r="H4" s="14">
        <v>5</v>
      </c>
      <c r="I4" s="14">
        <v>4</v>
      </c>
      <c r="J4" s="14">
        <v>5</v>
      </c>
      <c r="K4" s="14">
        <v>4</v>
      </c>
      <c r="L4" s="14">
        <v>5</v>
      </c>
      <c r="M4" s="2"/>
      <c r="N4" s="2">
        <v>5</v>
      </c>
      <c r="O4" s="2">
        <v>5</v>
      </c>
      <c r="P4" s="2">
        <v>5</v>
      </c>
      <c r="Q4" s="2">
        <v>4</v>
      </c>
      <c r="R4" s="2">
        <v>5</v>
      </c>
      <c r="S4" s="2"/>
    </row>
    <row r="5" spans="1:19" x14ac:dyDescent="0.35">
      <c r="A5" s="2" t="s">
        <v>33</v>
      </c>
      <c r="B5" s="14">
        <v>5</v>
      </c>
      <c r="C5" s="14">
        <v>5</v>
      </c>
      <c r="D5" s="14">
        <v>5</v>
      </c>
      <c r="E5" s="14">
        <v>5</v>
      </c>
      <c r="F5" s="14">
        <v>5</v>
      </c>
      <c r="G5" s="14"/>
      <c r="H5" s="14">
        <v>5</v>
      </c>
      <c r="I5" s="14">
        <v>5</v>
      </c>
      <c r="J5" s="14">
        <v>5</v>
      </c>
      <c r="K5" s="14">
        <v>5</v>
      </c>
      <c r="L5" s="14">
        <v>5</v>
      </c>
      <c r="M5" s="2"/>
      <c r="N5" s="2">
        <v>5</v>
      </c>
      <c r="O5" s="2">
        <v>5</v>
      </c>
      <c r="P5" s="2">
        <v>5</v>
      </c>
      <c r="Q5" s="2">
        <v>5</v>
      </c>
      <c r="R5" s="2">
        <v>5</v>
      </c>
      <c r="S5" s="2"/>
    </row>
    <row r="6" spans="1:19" x14ac:dyDescent="0.35">
      <c r="A6" s="2" t="s">
        <v>34</v>
      </c>
      <c r="B6" s="14">
        <v>5</v>
      </c>
      <c r="C6" s="14">
        <v>5</v>
      </c>
      <c r="D6" s="14">
        <v>5</v>
      </c>
      <c r="E6" s="14">
        <v>5</v>
      </c>
      <c r="F6" s="14">
        <v>5</v>
      </c>
      <c r="G6" s="14"/>
      <c r="H6" s="14">
        <v>4</v>
      </c>
      <c r="I6" s="14">
        <v>4</v>
      </c>
      <c r="J6" s="14">
        <v>5</v>
      </c>
      <c r="K6" s="14">
        <v>5</v>
      </c>
      <c r="L6" s="14">
        <v>5</v>
      </c>
      <c r="M6" s="2"/>
      <c r="N6" s="2">
        <v>5</v>
      </c>
      <c r="O6" s="2">
        <v>5</v>
      </c>
      <c r="P6" s="2">
        <v>5</v>
      </c>
      <c r="Q6" s="2">
        <v>5</v>
      </c>
      <c r="R6" s="2">
        <v>5</v>
      </c>
      <c r="S6" s="2"/>
    </row>
    <row r="7" spans="1:19" x14ac:dyDescent="0.35">
      <c r="A7" s="2" t="s">
        <v>35</v>
      </c>
      <c r="B7" s="14">
        <v>3</v>
      </c>
      <c r="C7" s="14">
        <v>5</v>
      </c>
      <c r="D7" s="14">
        <v>4</v>
      </c>
      <c r="E7" s="14">
        <v>3</v>
      </c>
      <c r="F7" s="14">
        <v>1</v>
      </c>
      <c r="G7" s="14"/>
      <c r="H7" s="14">
        <v>4</v>
      </c>
      <c r="I7" s="14">
        <v>4</v>
      </c>
      <c r="J7" s="14">
        <v>5</v>
      </c>
      <c r="K7" s="14">
        <v>4</v>
      </c>
      <c r="L7" s="14">
        <v>4</v>
      </c>
      <c r="M7" s="2"/>
      <c r="N7" s="2">
        <v>5</v>
      </c>
      <c r="O7" s="2">
        <v>5</v>
      </c>
      <c r="P7" s="2">
        <v>5</v>
      </c>
      <c r="Q7" s="2">
        <v>4</v>
      </c>
      <c r="R7" s="2">
        <v>4</v>
      </c>
      <c r="S7" s="2"/>
    </row>
    <row r="8" spans="1:19" x14ac:dyDescent="0.35">
      <c r="A8" s="2" t="s">
        <v>36</v>
      </c>
      <c r="B8" s="14">
        <v>4</v>
      </c>
      <c r="C8" s="14">
        <v>5</v>
      </c>
      <c r="D8" s="14">
        <v>4</v>
      </c>
      <c r="E8" s="14">
        <v>3</v>
      </c>
      <c r="F8" s="14">
        <v>3</v>
      </c>
      <c r="G8" s="14"/>
      <c r="H8" s="14">
        <v>4</v>
      </c>
      <c r="I8" s="14">
        <v>4</v>
      </c>
      <c r="J8" s="14">
        <v>5</v>
      </c>
      <c r="K8" s="14">
        <v>4</v>
      </c>
      <c r="L8" s="14">
        <v>5</v>
      </c>
      <c r="M8" s="2"/>
      <c r="N8" s="2">
        <v>4</v>
      </c>
      <c r="O8" s="2">
        <v>5</v>
      </c>
      <c r="P8" s="2">
        <v>5</v>
      </c>
      <c r="Q8" s="2">
        <v>4</v>
      </c>
      <c r="R8" s="2">
        <v>5</v>
      </c>
      <c r="S8" s="2"/>
    </row>
    <row r="9" spans="1:19" x14ac:dyDescent="0.35">
      <c r="A9" s="2" t="s">
        <v>37</v>
      </c>
      <c r="B9" s="14">
        <v>4</v>
      </c>
      <c r="C9" s="14">
        <v>4</v>
      </c>
      <c r="D9" s="14">
        <v>4</v>
      </c>
      <c r="E9" s="14">
        <v>3</v>
      </c>
      <c r="F9" s="14">
        <v>3</v>
      </c>
      <c r="G9" s="14"/>
      <c r="H9" s="14">
        <v>4</v>
      </c>
      <c r="I9" s="14">
        <v>4</v>
      </c>
      <c r="J9" s="14">
        <v>5</v>
      </c>
      <c r="K9" s="14">
        <v>4</v>
      </c>
      <c r="L9" s="14">
        <v>5</v>
      </c>
      <c r="M9" s="2"/>
      <c r="N9" s="2">
        <v>5</v>
      </c>
      <c r="O9" s="2">
        <v>5</v>
      </c>
      <c r="P9" s="2">
        <v>5</v>
      </c>
      <c r="Q9" s="2">
        <v>5</v>
      </c>
      <c r="R9" s="2">
        <v>5</v>
      </c>
      <c r="S9" s="2"/>
    </row>
    <row r="10" spans="1:19" x14ac:dyDescent="0.35">
      <c r="A10" s="2" t="s">
        <v>38</v>
      </c>
      <c r="B10" s="14">
        <v>5</v>
      </c>
      <c r="C10" s="14">
        <v>5</v>
      </c>
      <c r="D10" s="14">
        <v>5</v>
      </c>
      <c r="E10" s="14">
        <v>5</v>
      </c>
      <c r="F10" s="14">
        <v>5</v>
      </c>
      <c r="G10" s="14"/>
      <c r="H10" s="14">
        <v>4</v>
      </c>
      <c r="I10" s="14">
        <v>4</v>
      </c>
      <c r="J10" s="14">
        <v>5</v>
      </c>
      <c r="K10" s="14">
        <v>4</v>
      </c>
      <c r="L10" s="14">
        <v>5</v>
      </c>
      <c r="M10" s="2"/>
      <c r="N10" s="2">
        <v>5</v>
      </c>
      <c r="O10" s="2">
        <v>5</v>
      </c>
      <c r="P10" s="2">
        <v>5</v>
      </c>
      <c r="Q10" s="2">
        <v>5</v>
      </c>
      <c r="R10" s="2">
        <v>5</v>
      </c>
      <c r="S10" s="2"/>
    </row>
    <row r="11" spans="1:19" x14ac:dyDescent="0.35">
      <c r="A11" s="2" t="s">
        <v>39</v>
      </c>
      <c r="B11" s="14">
        <v>5</v>
      </c>
      <c r="C11" s="14">
        <v>5</v>
      </c>
      <c r="D11" s="14">
        <v>5</v>
      </c>
      <c r="E11" s="14">
        <v>5</v>
      </c>
      <c r="F11" s="14">
        <v>5</v>
      </c>
      <c r="G11" s="14"/>
      <c r="H11" s="14">
        <v>4</v>
      </c>
      <c r="I11" s="14">
        <v>4</v>
      </c>
      <c r="J11" s="14">
        <v>5</v>
      </c>
      <c r="K11" s="14">
        <v>4</v>
      </c>
      <c r="L11" s="14">
        <v>5</v>
      </c>
      <c r="M11" s="2"/>
      <c r="N11" s="2">
        <v>5</v>
      </c>
      <c r="O11" s="2">
        <v>5</v>
      </c>
      <c r="P11" s="2">
        <v>4</v>
      </c>
      <c r="Q11" s="2">
        <v>5</v>
      </c>
      <c r="R11" s="2">
        <v>4</v>
      </c>
      <c r="S11" s="2"/>
    </row>
    <row r="12" spans="1:19" x14ac:dyDescent="0.35">
      <c r="A12" s="2" t="s">
        <v>40</v>
      </c>
      <c r="B12" s="14">
        <v>5</v>
      </c>
      <c r="C12" s="14">
        <v>5</v>
      </c>
      <c r="D12" s="14">
        <v>5</v>
      </c>
      <c r="E12" s="14">
        <v>5</v>
      </c>
      <c r="F12" s="14">
        <v>5</v>
      </c>
      <c r="G12" s="14"/>
      <c r="H12" s="14">
        <v>4</v>
      </c>
      <c r="I12" s="14">
        <v>4</v>
      </c>
      <c r="J12" s="14">
        <v>5</v>
      </c>
      <c r="K12" s="14">
        <v>4</v>
      </c>
      <c r="L12" s="14">
        <v>5</v>
      </c>
      <c r="M12" s="2"/>
      <c r="N12" s="2">
        <v>5</v>
      </c>
      <c r="O12" s="2">
        <v>5</v>
      </c>
      <c r="P12" s="2">
        <v>5</v>
      </c>
      <c r="Q12" s="2">
        <v>5</v>
      </c>
      <c r="R12" s="2">
        <v>5</v>
      </c>
      <c r="S12" s="2"/>
    </row>
    <row r="13" spans="1:19" x14ac:dyDescent="0.35">
      <c r="A13" s="2" t="s">
        <v>41</v>
      </c>
      <c r="B13" s="14">
        <v>5</v>
      </c>
      <c r="C13" s="14">
        <v>5</v>
      </c>
      <c r="D13" s="14">
        <v>5</v>
      </c>
      <c r="E13" s="14">
        <v>5</v>
      </c>
      <c r="F13" s="14">
        <v>5</v>
      </c>
      <c r="G13" s="14"/>
      <c r="H13" s="14">
        <v>4</v>
      </c>
      <c r="I13" s="14">
        <v>4</v>
      </c>
      <c r="J13" s="14">
        <v>5</v>
      </c>
      <c r="K13" s="14">
        <v>5</v>
      </c>
      <c r="L13" s="14">
        <v>5</v>
      </c>
      <c r="M13" s="2"/>
      <c r="N13" s="2">
        <v>5</v>
      </c>
      <c r="O13" s="2">
        <v>5</v>
      </c>
      <c r="P13" s="2">
        <v>5</v>
      </c>
      <c r="Q13" s="2">
        <v>5</v>
      </c>
      <c r="R13" s="2">
        <v>5</v>
      </c>
      <c r="S13" s="2"/>
    </row>
    <row r="14" spans="1:19" x14ac:dyDescent="0.35">
      <c r="A14" s="2" t="s">
        <v>42</v>
      </c>
      <c r="B14" s="14">
        <v>4</v>
      </c>
      <c r="C14" s="14">
        <v>5</v>
      </c>
      <c r="D14" s="14">
        <v>5</v>
      </c>
      <c r="E14" s="14">
        <v>4</v>
      </c>
      <c r="F14" s="14">
        <v>4</v>
      </c>
      <c r="G14" s="14"/>
      <c r="H14" s="14">
        <v>4</v>
      </c>
      <c r="I14" s="14">
        <v>4</v>
      </c>
      <c r="J14" s="14">
        <v>5</v>
      </c>
      <c r="K14" s="14">
        <v>5</v>
      </c>
      <c r="L14" s="14">
        <v>5</v>
      </c>
      <c r="M14" s="2"/>
      <c r="N14" s="2">
        <v>5</v>
      </c>
      <c r="O14" s="2">
        <v>5</v>
      </c>
      <c r="P14" s="2">
        <v>5</v>
      </c>
      <c r="Q14" s="2">
        <v>5</v>
      </c>
      <c r="R14" s="2">
        <v>5</v>
      </c>
      <c r="S14" s="2"/>
    </row>
    <row r="15" spans="1:19" x14ac:dyDescent="0.35">
      <c r="A15" s="2" t="s">
        <v>43</v>
      </c>
      <c r="B15" s="14">
        <v>3</v>
      </c>
      <c r="C15" s="14">
        <v>4</v>
      </c>
      <c r="D15" s="14">
        <v>3</v>
      </c>
      <c r="E15" s="14">
        <v>2</v>
      </c>
      <c r="F15" s="14">
        <v>2</v>
      </c>
      <c r="G15" s="14"/>
      <c r="H15" s="14">
        <v>4</v>
      </c>
      <c r="I15" s="14">
        <v>4</v>
      </c>
      <c r="J15" s="14">
        <v>4</v>
      </c>
      <c r="K15" s="14">
        <v>4</v>
      </c>
      <c r="L15" s="14">
        <v>5</v>
      </c>
      <c r="M15" s="2"/>
      <c r="N15" s="2">
        <v>2</v>
      </c>
      <c r="O15" s="2">
        <v>5</v>
      </c>
      <c r="P15" s="2">
        <v>5</v>
      </c>
      <c r="Q15" s="2">
        <v>2</v>
      </c>
      <c r="R15" s="2">
        <v>5</v>
      </c>
      <c r="S15" s="2"/>
    </row>
    <row r="16" spans="1:19" x14ac:dyDescent="0.35">
      <c r="A16" s="2" t="s">
        <v>44</v>
      </c>
      <c r="B16" s="14">
        <v>4</v>
      </c>
      <c r="C16" s="14">
        <v>5</v>
      </c>
      <c r="D16" s="14">
        <v>5</v>
      </c>
      <c r="E16" s="14">
        <v>5</v>
      </c>
      <c r="F16" s="14">
        <v>5</v>
      </c>
      <c r="G16" s="14"/>
      <c r="H16" s="14">
        <v>4</v>
      </c>
      <c r="I16" s="14">
        <v>4</v>
      </c>
      <c r="J16" s="14">
        <v>5</v>
      </c>
      <c r="K16" s="14">
        <v>4</v>
      </c>
      <c r="L16" s="14">
        <v>5</v>
      </c>
      <c r="M16" s="2"/>
      <c r="N16" s="2">
        <v>5</v>
      </c>
      <c r="O16" s="2">
        <v>5</v>
      </c>
      <c r="P16" s="2">
        <v>5</v>
      </c>
      <c r="Q16" s="2">
        <v>5</v>
      </c>
      <c r="R16" s="2">
        <v>5</v>
      </c>
      <c r="S16" s="2"/>
    </row>
    <row r="17" spans="1:19" x14ac:dyDescent="0.35">
      <c r="A17" s="2" t="s">
        <v>45</v>
      </c>
      <c r="B17" s="14">
        <v>5</v>
      </c>
      <c r="C17" s="14">
        <v>5</v>
      </c>
      <c r="D17" s="14">
        <v>4</v>
      </c>
      <c r="E17" s="14">
        <v>4</v>
      </c>
      <c r="F17" s="14">
        <v>4</v>
      </c>
      <c r="G17" s="14"/>
      <c r="H17" s="14">
        <v>4</v>
      </c>
      <c r="I17" s="14">
        <v>4</v>
      </c>
      <c r="J17" s="14">
        <v>5</v>
      </c>
      <c r="K17" s="14">
        <v>4</v>
      </c>
      <c r="L17" s="14">
        <v>4</v>
      </c>
      <c r="M17" s="2"/>
      <c r="N17" s="2">
        <v>5</v>
      </c>
      <c r="O17" s="2">
        <v>5</v>
      </c>
      <c r="P17" s="2">
        <v>5</v>
      </c>
      <c r="Q17" s="2">
        <v>5</v>
      </c>
      <c r="R17" s="2">
        <v>5</v>
      </c>
      <c r="S17" s="2"/>
    </row>
    <row r="18" spans="1:19" x14ac:dyDescent="0.35">
      <c r="A18" s="2" t="s">
        <v>49</v>
      </c>
      <c r="B18" s="14">
        <v>4</v>
      </c>
      <c r="C18" s="14">
        <v>4</v>
      </c>
      <c r="D18" s="14">
        <v>5</v>
      </c>
      <c r="E18" s="14">
        <v>4</v>
      </c>
      <c r="F18" s="14">
        <v>4</v>
      </c>
      <c r="G18" s="14"/>
      <c r="H18" s="14">
        <v>4</v>
      </c>
      <c r="I18" s="14">
        <v>5</v>
      </c>
      <c r="J18" s="14">
        <v>5</v>
      </c>
      <c r="K18" s="14">
        <v>4</v>
      </c>
      <c r="L18" s="14">
        <v>5</v>
      </c>
      <c r="M18" s="2"/>
      <c r="N18" s="2">
        <v>5</v>
      </c>
      <c r="O18" s="2">
        <v>5</v>
      </c>
      <c r="P18" s="2">
        <v>5</v>
      </c>
      <c r="Q18" s="2">
        <v>5</v>
      </c>
      <c r="R18" s="2">
        <v>5</v>
      </c>
      <c r="S18" s="2"/>
    </row>
    <row r="19" spans="1:19" x14ac:dyDescent="0.35">
      <c r="A19" s="2" t="s">
        <v>50</v>
      </c>
      <c r="B19" s="14">
        <v>5</v>
      </c>
      <c r="C19" s="14">
        <v>5</v>
      </c>
      <c r="D19" s="14">
        <v>5</v>
      </c>
      <c r="E19" s="14">
        <v>5</v>
      </c>
      <c r="F19" s="14">
        <v>5</v>
      </c>
      <c r="G19" s="14"/>
      <c r="H19" s="14">
        <v>4</v>
      </c>
      <c r="I19" s="14">
        <v>4</v>
      </c>
      <c r="J19" s="14">
        <v>4</v>
      </c>
      <c r="K19" s="14">
        <v>4</v>
      </c>
      <c r="L19" s="14">
        <v>5</v>
      </c>
      <c r="M19" s="2"/>
      <c r="N19" s="2">
        <v>5</v>
      </c>
      <c r="O19" s="2">
        <v>5</v>
      </c>
      <c r="P19" s="2">
        <v>5</v>
      </c>
      <c r="Q19" s="2">
        <v>5</v>
      </c>
      <c r="R19" s="2">
        <v>5</v>
      </c>
      <c r="S19" s="2"/>
    </row>
    <row r="20" spans="1:19" x14ac:dyDescent="0.35">
      <c r="A20" s="2" t="s">
        <v>51</v>
      </c>
      <c r="B20" s="14">
        <v>4</v>
      </c>
      <c r="C20" s="14">
        <v>5</v>
      </c>
      <c r="D20" s="14">
        <v>5</v>
      </c>
      <c r="E20" s="14">
        <v>4</v>
      </c>
      <c r="F20" s="14">
        <v>4</v>
      </c>
      <c r="G20" s="14"/>
      <c r="H20" s="14">
        <v>4</v>
      </c>
      <c r="I20" s="14">
        <v>5</v>
      </c>
      <c r="J20" s="14">
        <v>4</v>
      </c>
      <c r="K20" s="14">
        <v>4</v>
      </c>
      <c r="L20" s="14">
        <v>5</v>
      </c>
      <c r="M20" s="2"/>
      <c r="N20" s="2">
        <v>5</v>
      </c>
      <c r="O20" s="2">
        <v>5</v>
      </c>
      <c r="P20" s="2">
        <v>5</v>
      </c>
      <c r="Q20" s="2">
        <v>4</v>
      </c>
      <c r="R20" s="2">
        <v>5</v>
      </c>
      <c r="S20" s="2"/>
    </row>
    <row r="21" spans="1:19" x14ac:dyDescent="0.35">
      <c r="A21" s="2" t="s">
        <v>52</v>
      </c>
      <c r="B21" s="14">
        <v>4</v>
      </c>
      <c r="C21" s="14">
        <v>4</v>
      </c>
      <c r="D21" s="14">
        <v>5</v>
      </c>
      <c r="E21" s="14">
        <v>4</v>
      </c>
      <c r="F21" s="14">
        <v>3</v>
      </c>
      <c r="G21" s="14"/>
      <c r="H21" s="14">
        <v>5</v>
      </c>
      <c r="I21" s="14">
        <v>4</v>
      </c>
      <c r="J21" s="14">
        <v>5</v>
      </c>
      <c r="K21" s="14">
        <v>5</v>
      </c>
      <c r="L21" s="14">
        <v>5</v>
      </c>
      <c r="M21" s="2"/>
      <c r="N21" s="2">
        <v>5</v>
      </c>
      <c r="O21" s="2">
        <v>5</v>
      </c>
      <c r="P21" s="2">
        <v>5</v>
      </c>
      <c r="Q21" s="2">
        <v>5</v>
      </c>
      <c r="R21" s="2">
        <v>5</v>
      </c>
      <c r="S21" s="2"/>
    </row>
    <row r="22" spans="1:19" x14ac:dyDescent="0.35">
      <c r="A22" s="2" t="s">
        <v>53</v>
      </c>
      <c r="B22" s="14">
        <v>5</v>
      </c>
      <c r="C22" s="14">
        <v>5</v>
      </c>
      <c r="D22" s="14">
        <v>5</v>
      </c>
      <c r="E22" s="14">
        <v>5</v>
      </c>
      <c r="F22" s="14">
        <v>4</v>
      </c>
      <c r="G22" s="14"/>
      <c r="H22" s="14">
        <v>4</v>
      </c>
      <c r="I22" s="14">
        <v>4</v>
      </c>
      <c r="J22" s="14">
        <v>5</v>
      </c>
      <c r="K22" s="14">
        <v>5</v>
      </c>
      <c r="L22" s="14">
        <v>5</v>
      </c>
      <c r="M22" s="2"/>
      <c r="N22" s="2">
        <v>5</v>
      </c>
      <c r="O22" s="2">
        <v>5</v>
      </c>
      <c r="P22" s="2">
        <v>5</v>
      </c>
      <c r="Q22" s="2">
        <v>5</v>
      </c>
      <c r="R22" s="2">
        <v>5</v>
      </c>
      <c r="S22" s="2"/>
    </row>
    <row r="23" spans="1:19" x14ac:dyDescent="0.35">
      <c r="A23" s="2" t="s">
        <v>54</v>
      </c>
      <c r="B23" s="14">
        <v>5</v>
      </c>
      <c r="C23" s="14">
        <v>5</v>
      </c>
      <c r="D23" s="14">
        <v>4</v>
      </c>
      <c r="E23" s="14">
        <v>4</v>
      </c>
      <c r="F23" s="14">
        <v>4</v>
      </c>
      <c r="G23" s="14"/>
      <c r="H23" s="14">
        <v>4</v>
      </c>
      <c r="I23" s="14">
        <v>4</v>
      </c>
      <c r="J23" s="14">
        <v>4</v>
      </c>
      <c r="K23" s="14">
        <v>5</v>
      </c>
      <c r="L23" s="14">
        <v>5</v>
      </c>
      <c r="M23" s="2"/>
      <c r="N23" s="2">
        <v>5</v>
      </c>
      <c r="O23" s="2">
        <v>5</v>
      </c>
      <c r="P23" s="2">
        <v>5</v>
      </c>
      <c r="Q23" s="2">
        <v>5</v>
      </c>
      <c r="R23" s="2">
        <v>5</v>
      </c>
      <c r="S23" s="2"/>
    </row>
    <row r="24" spans="1:19" x14ac:dyDescent="0.35">
      <c r="A24" s="2" t="s">
        <v>55</v>
      </c>
      <c r="B24" s="14">
        <v>5</v>
      </c>
      <c r="C24" s="14">
        <v>5</v>
      </c>
      <c r="D24" s="14">
        <v>5</v>
      </c>
      <c r="E24" s="14">
        <v>5</v>
      </c>
      <c r="F24" s="14">
        <v>5</v>
      </c>
      <c r="G24" s="14"/>
      <c r="H24" s="14">
        <v>4</v>
      </c>
      <c r="I24" s="14">
        <v>4</v>
      </c>
      <c r="J24" s="14">
        <v>5</v>
      </c>
      <c r="K24" s="14">
        <v>5</v>
      </c>
      <c r="L24" s="14">
        <v>4</v>
      </c>
      <c r="M24" s="2"/>
      <c r="N24" s="2">
        <v>5</v>
      </c>
      <c r="O24" s="2">
        <v>5</v>
      </c>
      <c r="P24" s="2">
        <v>5</v>
      </c>
      <c r="Q24" s="2">
        <v>5</v>
      </c>
      <c r="R24" s="2">
        <v>5</v>
      </c>
      <c r="S24" s="2"/>
    </row>
    <row r="25" spans="1:19" x14ac:dyDescent="0.35">
      <c r="A25" s="2" t="s">
        <v>46</v>
      </c>
      <c r="B25" s="7">
        <f>SUM(B3:B24)/22</f>
        <v>4.4545454545454541</v>
      </c>
      <c r="C25" s="7">
        <f>SUM(C3:C24)/22</f>
        <v>4.7727272727272725</v>
      </c>
      <c r="D25" s="7">
        <f>SUM(D3:D24)/22</f>
        <v>4.6363636363636367</v>
      </c>
      <c r="E25" s="7">
        <f>SUM(E3:E24)/22</f>
        <v>4.2727272727272725</v>
      </c>
      <c r="F25" s="7">
        <f>SUM(F3:F24)/22</f>
        <v>4.1363636363636367</v>
      </c>
      <c r="G25" s="7"/>
      <c r="H25" s="7">
        <f t="shared" ref="H25:R25" si="0">SUM(H3:H24)/22</f>
        <v>4.1363636363636367</v>
      </c>
      <c r="I25" s="7">
        <f t="shared" si="0"/>
        <v>4.1363636363636367</v>
      </c>
      <c r="J25" s="7">
        <f t="shared" si="0"/>
        <v>4.8181818181818183</v>
      </c>
      <c r="K25" s="7">
        <f t="shared" si="0"/>
        <v>4.4090909090909092</v>
      </c>
      <c r="L25" s="7">
        <f t="shared" si="0"/>
        <v>4.8636363636363633</v>
      </c>
      <c r="M25" s="7"/>
      <c r="N25" s="7">
        <f t="shared" si="0"/>
        <v>4.8181818181818183</v>
      </c>
      <c r="O25" s="7">
        <f t="shared" si="0"/>
        <v>5</v>
      </c>
      <c r="P25" s="7">
        <f t="shared" si="0"/>
        <v>4.9545454545454541</v>
      </c>
      <c r="Q25" s="7">
        <f t="shared" si="0"/>
        <v>4.6818181818181817</v>
      </c>
      <c r="R25" s="7">
        <f t="shared" si="0"/>
        <v>4.8181818181818183</v>
      </c>
      <c r="S25" s="2"/>
    </row>
    <row r="26" spans="1:19" x14ac:dyDescent="0.35">
      <c r="A26" s="2" t="s">
        <v>47</v>
      </c>
      <c r="B26" s="7">
        <f>(B25+H25+N25)/3</f>
        <v>4.4696969696969697</v>
      </c>
      <c r="C26" s="7">
        <f t="shared" ref="C26:F26" si="1">(C25+I25+O25)/3</f>
        <v>4.6363636363636367</v>
      </c>
      <c r="D26" s="7">
        <f t="shared" si="1"/>
        <v>4.8030303030303036</v>
      </c>
      <c r="E26" s="7">
        <f t="shared" si="1"/>
        <v>4.4545454545454541</v>
      </c>
      <c r="F26" s="7">
        <f t="shared" si="1"/>
        <v>4.6060606060606064</v>
      </c>
      <c r="G26" s="2"/>
      <c r="H26" s="2"/>
      <c r="I26" s="2"/>
      <c r="J26" s="2"/>
      <c r="K26" s="2"/>
      <c r="L26" s="2"/>
      <c r="M26" s="2"/>
      <c r="N26" s="2"/>
      <c r="O26" s="2"/>
      <c r="P26" s="2"/>
      <c r="Q26" s="2"/>
      <c r="R26" s="2"/>
      <c r="S26" s="2"/>
    </row>
    <row r="27" spans="1:19" x14ac:dyDescent="0.35">
      <c r="A27" s="2"/>
      <c r="B27" s="2"/>
      <c r="C27" s="2"/>
      <c r="D27" s="2"/>
      <c r="E27" s="2"/>
      <c r="F27" s="2"/>
      <c r="G27" s="2"/>
      <c r="H27" s="2"/>
      <c r="I27" s="2"/>
      <c r="J27" s="2"/>
      <c r="K27" s="2"/>
      <c r="L27" s="2"/>
      <c r="M27" s="2"/>
      <c r="N27" s="2"/>
      <c r="O27" s="2"/>
      <c r="P27" s="2"/>
      <c r="Q27" s="2"/>
      <c r="R27" s="2"/>
      <c r="S27" s="2"/>
    </row>
    <row r="28" spans="1:19" x14ac:dyDescent="0.35">
      <c r="A28" s="2"/>
      <c r="B28" s="2"/>
      <c r="C28" s="2"/>
      <c r="D28" s="2"/>
      <c r="E28" s="2"/>
      <c r="F28" s="2"/>
      <c r="G28" s="2"/>
      <c r="H28" s="2"/>
      <c r="I28" s="2"/>
      <c r="J28" s="2"/>
      <c r="K28" s="2"/>
      <c r="L28" s="2"/>
      <c r="M28" s="2"/>
      <c r="N28" s="2"/>
      <c r="O28" s="2"/>
      <c r="P28" s="2"/>
      <c r="Q28" s="2"/>
      <c r="R28" s="2"/>
      <c r="S28" s="2"/>
    </row>
    <row r="29" spans="1:19" x14ac:dyDescent="0.35">
      <c r="A29" s="3" t="s">
        <v>48</v>
      </c>
      <c r="B29" s="21" t="s">
        <v>23</v>
      </c>
      <c r="C29" s="21"/>
      <c r="D29" s="21"/>
      <c r="E29" s="21"/>
      <c r="F29" s="21"/>
      <c r="G29" s="2"/>
      <c r="H29" s="21" t="s">
        <v>24</v>
      </c>
      <c r="I29" s="21"/>
      <c r="J29" s="21"/>
      <c r="K29" s="21"/>
      <c r="L29" s="21"/>
      <c r="M29" s="2"/>
      <c r="N29" s="21" t="s">
        <v>25</v>
      </c>
      <c r="O29" s="21"/>
      <c r="P29" s="21"/>
      <c r="Q29" s="21"/>
      <c r="R29" s="21"/>
      <c r="S29" s="2"/>
    </row>
    <row r="30" spans="1:19" x14ac:dyDescent="0.35">
      <c r="A30" s="2"/>
      <c r="B30" s="3" t="s">
        <v>26</v>
      </c>
      <c r="C30" s="3" t="s">
        <v>27</v>
      </c>
      <c r="D30" s="3" t="s">
        <v>28</v>
      </c>
      <c r="E30" s="3" t="s">
        <v>29</v>
      </c>
      <c r="F30" s="3" t="s">
        <v>30</v>
      </c>
      <c r="G30" s="2"/>
      <c r="H30" s="3" t="s">
        <v>26</v>
      </c>
      <c r="I30" s="3" t="s">
        <v>27</v>
      </c>
      <c r="J30" s="3" t="s">
        <v>28</v>
      </c>
      <c r="K30" s="3" t="s">
        <v>29</v>
      </c>
      <c r="L30" s="3" t="s">
        <v>30</v>
      </c>
      <c r="M30" s="2"/>
      <c r="N30" s="3" t="s">
        <v>26</v>
      </c>
      <c r="O30" s="3" t="s">
        <v>27</v>
      </c>
      <c r="P30" s="3" t="s">
        <v>28</v>
      </c>
      <c r="Q30" s="3" t="s">
        <v>29</v>
      </c>
      <c r="R30" s="3" t="s">
        <v>30</v>
      </c>
      <c r="S30" s="2"/>
    </row>
    <row r="31" spans="1:19" x14ac:dyDescent="0.35">
      <c r="A31" s="2" t="s">
        <v>31</v>
      </c>
      <c r="B31" s="2">
        <v>2</v>
      </c>
      <c r="C31" s="2">
        <v>3</v>
      </c>
      <c r="D31" s="2">
        <v>1</v>
      </c>
      <c r="E31" s="2">
        <v>1</v>
      </c>
      <c r="F31" s="2">
        <v>3</v>
      </c>
      <c r="G31" s="2"/>
      <c r="H31" s="2">
        <v>2</v>
      </c>
      <c r="I31" s="2">
        <v>3</v>
      </c>
      <c r="J31" s="2">
        <v>2</v>
      </c>
      <c r="K31" s="2">
        <v>2</v>
      </c>
      <c r="L31" s="2">
        <v>2</v>
      </c>
      <c r="M31" s="2"/>
      <c r="N31" s="2">
        <v>5</v>
      </c>
      <c r="O31" s="2">
        <v>4</v>
      </c>
      <c r="P31" s="2">
        <v>2</v>
      </c>
      <c r="Q31" s="2">
        <v>1</v>
      </c>
      <c r="R31" s="2">
        <v>4</v>
      </c>
      <c r="S31" s="2"/>
    </row>
    <row r="32" spans="1:19" x14ac:dyDescent="0.35">
      <c r="A32" s="2" t="s">
        <v>32</v>
      </c>
      <c r="B32" s="2">
        <v>4</v>
      </c>
      <c r="C32" s="2">
        <v>5</v>
      </c>
      <c r="D32" s="2">
        <v>4</v>
      </c>
      <c r="E32" s="2">
        <v>4</v>
      </c>
      <c r="F32" s="2">
        <v>3</v>
      </c>
      <c r="G32" s="2"/>
      <c r="H32" s="2">
        <v>3</v>
      </c>
      <c r="I32" s="2">
        <v>4</v>
      </c>
      <c r="J32" s="2">
        <v>3</v>
      </c>
      <c r="K32" s="2">
        <v>4</v>
      </c>
      <c r="L32" s="2">
        <v>3</v>
      </c>
      <c r="M32" s="2"/>
      <c r="N32" s="2">
        <v>2</v>
      </c>
      <c r="O32" s="2">
        <v>3</v>
      </c>
      <c r="P32" s="2">
        <v>2</v>
      </c>
      <c r="Q32" s="2">
        <v>1</v>
      </c>
      <c r="R32" s="2">
        <v>3</v>
      </c>
      <c r="S32" s="2"/>
    </row>
    <row r="33" spans="1:19" x14ac:dyDescent="0.35">
      <c r="A33" s="2" t="s">
        <v>33</v>
      </c>
      <c r="B33" s="2">
        <v>3</v>
      </c>
      <c r="C33" s="2">
        <v>5</v>
      </c>
      <c r="D33" s="2">
        <v>4</v>
      </c>
      <c r="E33" s="2">
        <v>4</v>
      </c>
      <c r="F33" s="2">
        <v>3</v>
      </c>
      <c r="G33" s="2"/>
      <c r="H33" s="2">
        <v>3</v>
      </c>
      <c r="I33" s="2">
        <v>4</v>
      </c>
      <c r="J33" s="2">
        <v>3</v>
      </c>
      <c r="K33" s="2">
        <v>4</v>
      </c>
      <c r="L33" s="2">
        <v>2</v>
      </c>
      <c r="M33" s="2"/>
      <c r="N33" s="2">
        <v>3</v>
      </c>
      <c r="O33" s="2">
        <v>4</v>
      </c>
      <c r="P33" s="2">
        <v>3</v>
      </c>
      <c r="Q33" s="2">
        <v>2</v>
      </c>
      <c r="R33" s="2">
        <v>4</v>
      </c>
      <c r="S33" s="2"/>
    </row>
    <row r="34" spans="1:19" x14ac:dyDescent="0.35">
      <c r="A34" s="2" t="s">
        <v>34</v>
      </c>
      <c r="B34" s="2">
        <v>3</v>
      </c>
      <c r="C34" s="2">
        <v>4</v>
      </c>
      <c r="D34" s="2">
        <v>2</v>
      </c>
      <c r="E34" s="2">
        <v>1</v>
      </c>
      <c r="F34" s="2">
        <v>1</v>
      </c>
      <c r="G34" s="2"/>
      <c r="H34" s="2">
        <v>4</v>
      </c>
      <c r="I34" s="2">
        <v>4</v>
      </c>
      <c r="J34" s="2">
        <v>3</v>
      </c>
      <c r="K34" s="2">
        <v>4</v>
      </c>
      <c r="L34" s="2">
        <v>2</v>
      </c>
      <c r="M34" s="2"/>
      <c r="N34" s="2">
        <v>5</v>
      </c>
      <c r="O34" s="2">
        <v>4</v>
      </c>
      <c r="P34" s="2">
        <v>3</v>
      </c>
      <c r="Q34" s="2">
        <v>2</v>
      </c>
      <c r="R34" s="2">
        <v>2</v>
      </c>
      <c r="S34" s="2"/>
    </row>
    <row r="35" spans="1:19" x14ac:dyDescent="0.35">
      <c r="A35" s="2" t="s">
        <v>35</v>
      </c>
      <c r="B35" s="2">
        <v>4</v>
      </c>
      <c r="C35" s="2">
        <v>5</v>
      </c>
      <c r="D35" s="2">
        <v>2</v>
      </c>
      <c r="E35" s="2">
        <v>2</v>
      </c>
      <c r="F35" s="2">
        <v>3</v>
      </c>
      <c r="G35" s="2"/>
      <c r="H35" s="2">
        <v>2</v>
      </c>
      <c r="I35" s="2">
        <v>4</v>
      </c>
      <c r="J35" s="2">
        <v>2</v>
      </c>
      <c r="K35" s="2">
        <v>3</v>
      </c>
      <c r="L35" s="2">
        <v>2</v>
      </c>
      <c r="M35" s="2"/>
      <c r="N35" s="2">
        <v>2</v>
      </c>
      <c r="O35" s="2">
        <v>3</v>
      </c>
      <c r="P35" s="2">
        <v>2</v>
      </c>
      <c r="Q35" s="2">
        <v>2</v>
      </c>
      <c r="R35" s="2">
        <v>2</v>
      </c>
      <c r="S35" s="2"/>
    </row>
    <row r="36" spans="1:19" x14ac:dyDescent="0.35">
      <c r="A36" s="2" t="s">
        <v>36</v>
      </c>
      <c r="B36" s="2">
        <v>5</v>
      </c>
      <c r="C36" s="2">
        <v>5</v>
      </c>
      <c r="D36" s="2">
        <v>5</v>
      </c>
      <c r="E36" s="2">
        <v>4</v>
      </c>
      <c r="F36" s="2">
        <v>4</v>
      </c>
      <c r="G36" s="2"/>
      <c r="H36" s="2">
        <v>2</v>
      </c>
      <c r="I36" s="2">
        <v>4</v>
      </c>
      <c r="J36" s="2">
        <v>2</v>
      </c>
      <c r="K36" s="2">
        <v>2</v>
      </c>
      <c r="L36" s="2">
        <v>3</v>
      </c>
      <c r="M36" s="2"/>
      <c r="N36" s="2">
        <v>3</v>
      </c>
      <c r="O36" s="2">
        <v>4</v>
      </c>
      <c r="P36" s="2">
        <v>4</v>
      </c>
      <c r="Q36" s="2">
        <v>2</v>
      </c>
      <c r="R36" s="2">
        <v>4</v>
      </c>
      <c r="S36" s="2"/>
    </row>
    <row r="37" spans="1:19" x14ac:dyDescent="0.35">
      <c r="A37" s="2" t="s">
        <v>37</v>
      </c>
      <c r="B37" s="2">
        <v>4</v>
      </c>
      <c r="C37" s="2">
        <v>5</v>
      </c>
      <c r="D37" s="2">
        <v>3</v>
      </c>
      <c r="E37" s="2">
        <v>3</v>
      </c>
      <c r="F37" s="2">
        <v>3</v>
      </c>
      <c r="G37" s="2"/>
      <c r="H37" s="2">
        <v>4</v>
      </c>
      <c r="I37" s="2">
        <v>4</v>
      </c>
      <c r="J37" s="2">
        <v>3</v>
      </c>
      <c r="K37" s="2">
        <v>3</v>
      </c>
      <c r="L37" s="2">
        <v>2</v>
      </c>
      <c r="M37" s="2"/>
      <c r="N37" s="2">
        <v>3</v>
      </c>
      <c r="O37" s="2">
        <v>5</v>
      </c>
      <c r="P37" s="2">
        <v>4</v>
      </c>
      <c r="Q37" s="2">
        <v>3</v>
      </c>
      <c r="R37" s="2">
        <v>2</v>
      </c>
      <c r="S37" s="2"/>
    </row>
    <row r="38" spans="1:19" x14ac:dyDescent="0.35">
      <c r="A38" s="2" t="s">
        <v>38</v>
      </c>
      <c r="B38" s="2">
        <v>5</v>
      </c>
      <c r="C38" s="2">
        <v>5</v>
      </c>
      <c r="D38" s="2">
        <v>4</v>
      </c>
      <c r="E38" s="2">
        <v>4</v>
      </c>
      <c r="F38" s="2">
        <v>4</v>
      </c>
      <c r="G38" s="2"/>
      <c r="H38" s="2">
        <v>4</v>
      </c>
      <c r="I38" s="2">
        <v>4</v>
      </c>
      <c r="J38" s="2">
        <v>2</v>
      </c>
      <c r="K38" s="2">
        <v>3</v>
      </c>
      <c r="L38" s="2">
        <v>2</v>
      </c>
      <c r="M38" s="2"/>
      <c r="N38" s="2">
        <v>3</v>
      </c>
      <c r="O38" s="2">
        <v>4</v>
      </c>
      <c r="P38" s="2">
        <v>2</v>
      </c>
      <c r="Q38" s="2">
        <v>2</v>
      </c>
      <c r="R38" s="2">
        <v>3</v>
      </c>
      <c r="S38" s="2"/>
    </row>
    <row r="39" spans="1:19" x14ac:dyDescent="0.35">
      <c r="A39" s="2" t="s">
        <v>39</v>
      </c>
      <c r="B39" s="2">
        <v>2</v>
      </c>
      <c r="C39" s="2">
        <v>4</v>
      </c>
      <c r="D39" s="2">
        <v>3</v>
      </c>
      <c r="E39" s="2">
        <v>3</v>
      </c>
      <c r="F39" s="2">
        <v>3</v>
      </c>
      <c r="G39" s="2"/>
      <c r="H39" s="2">
        <v>2</v>
      </c>
      <c r="I39" s="2">
        <v>4</v>
      </c>
      <c r="J39" s="2">
        <v>3</v>
      </c>
      <c r="K39" s="2">
        <v>3</v>
      </c>
      <c r="L39" s="2">
        <v>2</v>
      </c>
      <c r="M39" s="2"/>
      <c r="N39" s="2">
        <v>2</v>
      </c>
      <c r="O39" s="2">
        <v>3</v>
      </c>
      <c r="P39" s="2">
        <v>2</v>
      </c>
      <c r="Q39" s="2">
        <v>1</v>
      </c>
      <c r="R39" s="2">
        <v>4</v>
      </c>
      <c r="S39" s="2"/>
    </row>
    <row r="40" spans="1:19" x14ac:dyDescent="0.35">
      <c r="A40" s="2" t="s">
        <v>40</v>
      </c>
      <c r="B40" s="2">
        <v>2</v>
      </c>
      <c r="C40" s="2">
        <v>2</v>
      </c>
      <c r="D40" s="2">
        <v>1</v>
      </c>
      <c r="E40" s="2">
        <v>1</v>
      </c>
      <c r="F40" s="2">
        <v>1</v>
      </c>
      <c r="G40" s="2"/>
      <c r="H40" s="2">
        <v>3</v>
      </c>
      <c r="I40" s="2">
        <v>4</v>
      </c>
      <c r="J40" s="2">
        <v>2</v>
      </c>
      <c r="K40" s="2">
        <v>2</v>
      </c>
      <c r="L40" s="2">
        <v>2</v>
      </c>
      <c r="M40" s="2"/>
      <c r="N40" s="2">
        <v>3</v>
      </c>
      <c r="O40" s="2">
        <v>2</v>
      </c>
      <c r="P40" s="2">
        <v>1</v>
      </c>
      <c r="Q40" s="2">
        <v>1</v>
      </c>
      <c r="R40" s="2">
        <v>1</v>
      </c>
      <c r="S40" s="2"/>
    </row>
    <row r="41" spans="1:19" x14ac:dyDescent="0.35">
      <c r="A41" s="2" t="s">
        <v>41</v>
      </c>
      <c r="B41" s="2">
        <v>4</v>
      </c>
      <c r="C41" s="2">
        <v>5</v>
      </c>
      <c r="D41" s="2">
        <v>3</v>
      </c>
      <c r="E41" s="2">
        <v>3</v>
      </c>
      <c r="F41" s="2">
        <v>4</v>
      </c>
      <c r="G41" s="2"/>
      <c r="H41" s="2">
        <v>3</v>
      </c>
      <c r="I41" s="2">
        <v>4</v>
      </c>
      <c r="J41" s="2">
        <v>3</v>
      </c>
      <c r="K41" s="2">
        <v>3</v>
      </c>
      <c r="L41" s="2">
        <v>2</v>
      </c>
      <c r="M41" s="2"/>
      <c r="N41" s="2">
        <v>2</v>
      </c>
      <c r="O41" s="2">
        <v>2</v>
      </c>
      <c r="P41" s="2">
        <v>4</v>
      </c>
      <c r="Q41" s="2">
        <v>2</v>
      </c>
      <c r="R41" s="2">
        <v>4</v>
      </c>
      <c r="S41" s="2"/>
    </row>
    <row r="42" spans="1:19" x14ac:dyDescent="0.35">
      <c r="A42" s="2" t="s">
        <v>42</v>
      </c>
      <c r="B42" s="2">
        <v>4</v>
      </c>
      <c r="C42" s="2">
        <v>4</v>
      </c>
      <c r="D42" s="2">
        <v>4</v>
      </c>
      <c r="E42" s="2">
        <v>2</v>
      </c>
      <c r="F42" s="2">
        <v>1</v>
      </c>
      <c r="G42" s="2"/>
      <c r="H42" s="2">
        <v>4</v>
      </c>
      <c r="I42" s="2">
        <v>4</v>
      </c>
      <c r="J42" s="2">
        <v>2</v>
      </c>
      <c r="K42" s="2">
        <v>4</v>
      </c>
      <c r="L42" s="2">
        <v>3</v>
      </c>
      <c r="M42" s="2"/>
      <c r="N42" s="2">
        <v>2</v>
      </c>
      <c r="O42" s="2">
        <v>2</v>
      </c>
      <c r="P42" s="2">
        <v>2</v>
      </c>
      <c r="Q42" s="2">
        <v>2</v>
      </c>
      <c r="R42" s="2">
        <v>1</v>
      </c>
      <c r="S42" s="2"/>
    </row>
    <row r="43" spans="1:19" x14ac:dyDescent="0.35">
      <c r="A43" s="2" t="s">
        <v>43</v>
      </c>
      <c r="B43" s="2">
        <v>3</v>
      </c>
      <c r="C43" s="2">
        <v>4</v>
      </c>
      <c r="D43" s="2">
        <v>3</v>
      </c>
      <c r="E43" s="2">
        <v>2</v>
      </c>
      <c r="F43" s="2">
        <v>1</v>
      </c>
      <c r="G43" s="2"/>
      <c r="H43" s="2">
        <v>3</v>
      </c>
      <c r="I43" s="2">
        <v>3</v>
      </c>
      <c r="J43" s="2">
        <v>4</v>
      </c>
      <c r="K43" s="2">
        <v>4</v>
      </c>
      <c r="L43" s="2">
        <v>3</v>
      </c>
      <c r="M43" s="2"/>
      <c r="N43" s="2">
        <v>4</v>
      </c>
      <c r="O43" s="2">
        <v>5</v>
      </c>
      <c r="P43" s="2">
        <v>5</v>
      </c>
      <c r="Q43" s="2">
        <v>3</v>
      </c>
      <c r="R43" s="2">
        <v>4</v>
      </c>
      <c r="S43" s="2"/>
    </row>
    <row r="44" spans="1:19" x14ac:dyDescent="0.35">
      <c r="A44" s="2" t="s">
        <v>44</v>
      </c>
      <c r="B44" s="2">
        <v>5</v>
      </c>
      <c r="C44" s="2">
        <v>5</v>
      </c>
      <c r="D44" s="2">
        <v>5</v>
      </c>
      <c r="E44" s="2">
        <v>4</v>
      </c>
      <c r="F44" s="2">
        <v>4</v>
      </c>
      <c r="G44" s="2"/>
      <c r="H44" s="2">
        <v>3</v>
      </c>
      <c r="I44" s="2">
        <v>4</v>
      </c>
      <c r="J44" s="2">
        <v>4</v>
      </c>
      <c r="K44" s="2">
        <v>4</v>
      </c>
      <c r="L44" s="2">
        <v>3</v>
      </c>
      <c r="M44" s="2"/>
      <c r="N44" s="2">
        <v>3</v>
      </c>
      <c r="O44" s="2">
        <v>5</v>
      </c>
      <c r="P44" s="2">
        <v>5</v>
      </c>
      <c r="Q44" s="2">
        <v>3</v>
      </c>
      <c r="R44" s="2">
        <v>3</v>
      </c>
      <c r="S44" s="2"/>
    </row>
    <row r="45" spans="1:19" x14ac:dyDescent="0.35">
      <c r="A45" s="2" t="s">
        <v>45</v>
      </c>
      <c r="B45" s="2">
        <v>4</v>
      </c>
      <c r="C45" s="2">
        <v>4</v>
      </c>
      <c r="D45" s="2">
        <v>3</v>
      </c>
      <c r="E45" s="2">
        <v>3</v>
      </c>
      <c r="F45" s="2">
        <v>3</v>
      </c>
      <c r="G45" s="2"/>
      <c r="H45" s="2">
        <v>2</v>
      </c>
      <c r="I45" s="2">
        <v>2</v>
      </c>
      <c r="J45" s="2">
        <v>4</v>
      </c>
      <c r="K45" s="2">
        <v>2</v>
      </c>
      <c r="L45" s="2">
        <v>3</v>
      </c>
      <c r="M45" s="2"/>
      <c r="N45" s="2">
        <v>2</v>
      </c>
      <c r="O45" s="2">
        <v>3</v>
      </c>
      <c r="P45" s="2">
        <v>2</v>
      </c>
      <c r="Q45" s="2">
        <v>2</v>
      </c>
      <c r="R45" s="2">
        <v>4</v>
      </c>
      <c r="S45" s="2"/>
    </row>
    <row r="46" spans="1:19" x14ac:dyDescent="0.35">
      <c r="A46" s="2" t="s">
        <v>49</v>
      </c>
      <c r="B46" s="2">
        <v>5</v>
      </c>
      <c r="C46" s="2">
        <v>5</v>
      </c>
      <c r="D46" s="2">
        <v>5</v>
      </c>
      <c r="E46" s="2">
        <v>4</v>
      </c>
      <c r="F46" s="2">
        <v>5</v>
      </c>
      <c r="G46" s="2"/>
      <c r="H46" s="2">
        <v>2</v>
      </c>
      <c r="I46" s="2">
        <v>2</v>
      </c>
      <c r="J46" s="2">
        <v>3</v>
      </c>
      <c r="K46" s="2">
        <v>3</v>
      </c>
      <c r="L46" s="2">
        <v>3</v>
      </c>
      <c r="M46" s="2"/>
      <c r="N46" s="2">
        <v>3</v>
      </c>
      <c r="O46" s="2">
        <v>4</v>
      </c>
      <c r="P46" s="2">
        <v>4</v>
      </c>
      <c r="Q46" s="2">
        <v>2</v>
      </c>
      <c r="R46" s="2">
        <v>4</v>
      </c>
      <c r="S46" s="2"/>
    </row>
    <row r="47" spans="1:19" x14ac:dyDescent="0.35">
      <c r="A47" s="2" t="s">
        <v>50</v>
      </c>
      <c r="B47" s="2">
        <v>5</v>
      </c>
      <c r="C47" s="2">
        <v>5</v>
      </c>
      <c r="D47" s="2">
        <v>5</v>
      </c>
      <c r="E47" s="2">
        <v>5</v>
      </c>
      <c r="F47" s="2">
        <v>4</v>
      </c>
      <c r="G47" s="2"/>
      <c r="H47" s="2">
        <v>3</v>
      </c>
      <c r="I47" s="2">
        <v>4</v>
      </c>
      <c r="J47" s="2">
        <v>4</v>
      </c>
      <c r="K47" s="2">
        <v>3</v>
      </c>
      <c r="L47" s="2">
        <v>4</v>
      </c>
      <c r="M47" s="2"/>
      <c r="N47" s="2">
        <v>3</v>
      </c>
      <c r="O47" s="2">
        <v>5</v>
      </c>
      <c r="P47" s="2">
        <v>5</v>
      </c>
      <c r="Q47" s="2">
        <v>3</v>
      </c>
      <c r="R47" s="2">
        <v>5</v>
      </c>
      <c r="S47" s="2"/>
    </row>
    <row r="48" spans="1:19" x14ac:dyDescent="0.35">
      <c r="A48" s="2" t="s">
        <v>51</v>
      </c>
      <c r="B48" s="2">
        <v>5</v>
      </c>
      <c r="C48" s="2">
        <v>5</v>
      </c>
      <c r="D48" s="2">
        <v>5</v>
      </c>
      <c r="E48" s="2">
        <v>5</v>
      </c>
      <c r="F48" s="2">
        <v>5</v>
      </c>
      <c r="G48" s="2"/>
      <c r="H48" s="2">
        <v>3</v>
      </c>
      <c r="I48" s="2">
        <v>3</v>
      </c>
      <c r="J48" s="2">
        <v>4</v>
      </c>
      <c r="K48" s="2">
        <v>2</v>
      </c>
      <c r="L48" s="2">
        <v>3</v>
      </c>
      <c r="M48" s="2"/>
      <c r="N48" s="2">
        <v>3</v>
      </c>
      <c r="O48" s="2">
        <v>5</v>
      </c>
      <c r="P48" s="2">
        <v>5</v>
      </c>
      <c r="Q48" s="2">
        <v>3</v>
      </c>
      <c r="R48" s="2">
        <v>3</v>
      </c>
      <c r="S48" s="2"/>
    </row>
    <row r="49" spans="1:19" x14ac:dyDescent="0.35">
      <c r="A49" s="2" t="s">
        <v>52</v>
      </c>
      <c r="B49" s="2">
        <v>2</v>
      </c>
      <c r="C49" s="2">
        <v>3</v>
      </c>
      <c r="D49" s="2">
        <v>4</v>
      </c>
      <c r="E49" s="2">
        <v>3</v>
      </c>
      <c r="F49" s="2">
        <v>2</v>
      </c>
      <c r="G49" s="2"/>
      <c r="H49" s="2">
        <v>2</v>
      </c>
      <c r="I49" s="2">
        <v>4</v>
      </c>
      <c r="J49" s="2">
        <v>1</v>
      </c>
      <c r="K49" s="2">
        <v>1</v>
      </c>
      <c r="L49" s="2">
        <v>1</v>
      </c>
      <c r="M49" s="2"/>
      <c r="N49" s="2">
        <v>2</v>
      </c>
      <c r="O49" s="2">
        <v>2</v>
      </c>
      <c r="P49" s="2">
        <v>2</v>
      </c>
      <c r="Q49" s="2">
        <v>2</v>
      </c>
      <c r="R49" s="2">
        <v>1</v>
      </c>
      <c r="S49" s="2"/>
    </row>
    <row r="50" spans="1:19" x14ac:dyDescent="0.35">
      <c r="A50" s="2" t="s">
        <v>53</v>
      </c>
      <c r="B50" s="2">
        <v>2</v>
      </c>
      <c r="C50" s="2">
        <v>3</v>
      </c>
      <c r="D50" s="2">
        <v>1</v>
      </c>
      <c r="E50" s="2">
        <v>1</v>
      </c>
      <c r="F50" s="2">
        <v>1</v>
      </c>
      <c r="G50" s="2"/>
      <c r="H50" s="2">
        <v>1</v>
      </c>
      <c r="I50" s="2">
        <v>2</v>
      </c>
      <c r="J50" s="2">
        <v>3</v>
      </c>
      <c r="K50" s="2">
        <v>2</v>
      </c>
      <c r="L50" s="2">
        <v>2</v>
      </c>
      <c r="M50" s="2"/>
      <c r="N50" s="2">
        <v>1</v>
      </c>
      <c r="O50" s="2">
        <v>4</v>
      </c>
      <c r="P50" s="2">
        <v>2</v>
      </c>
      <c r="Q50" s="2">
        <v>1</v>
      </c>
      <c r="R50" s="2">
        <v>1</v>
      </c>
      <c r="S50" s="2"/>
    </row>
    <row r="51" spans="1:19" x14ac:dyDescent="0.35">
      <c r="A51" s="2" t="s">
        <v>54</v>
      </c>
      <c r="B51" s="2">
        <v>4</v>
      </c>
      <c r="C51" s="2">
        <v>4</v>
      </c>
      <c r="D51" s="2">
        <v>4</v>
      </c>
      <c r="E51" s="2">
        <v>2</v>
      </c>
      <c r="F51" s="2">
        <v>5</v>
      </c>
      <c r="G51" s="2"/>
      <c r="H51" s="2">
        <v>3</v>
      </c>
      <c r="I51" s="2">
        <v>4</v>
      </c>
      <c r="J51" s="2">
        <v>4</v>
      </c>
      <c r="K51" s="2">
        <v>4</v>
      </c>
      <c r="L51" s="2">
        <v>4</v>
      </c>
      <c r="M51" s="2"/>
      <c r="N51" s="2">
        <v>1</v>
      </c>
      <c r="O51" s="2">
        <v>4</v>
      </c>
      <c r="P51" s="2">
        <v>2</v>
      </c>
      <c r="Q51" s="2">
        <v>2</v>
      </c>
      <c r="R51" s="2">
        <v>3</v>
      </c>
      <c r="S51" s="2"/>
    </row>
    <row r="52" spans="1:19" x14ac:dyDescent="0.35">
      <c r="A52" s="2" t="s">
        <v>55</v>
      </c>
      <c r="B52" s="2">
        <v>4</v>
      </c>
      <c r="C52" s="2">
        <v>5</v>
      </c>
      <c r="D52" s="2">
        <v>5</v>
      </c>
      <c r="E52" s="2">
        <v>4</v>
      </c>
      <c r="F52" s="2">
        <v>4</v>
      </c>
      <c r="G52" s="2"/>
      <c r="H52" s="2">
        <v>2</v>
      </c>
      <c r="I52" s="2">
        <v>3</v>
      </c>
      <c r="J52" s="2">
        <v>4</v>
      </c>
      <c r="K52" s="2">
        <v>3</v>
      </c>
      <c r="L52" s="2">
        <v>3</v>
      </c>
      <c r="M52" s="2"/>
      <c r="N52" s="2">
        <v>2</v>
      </c>
      <c r="O52" s="2">
        <v>4</v>
      </c>
      <c r="P52" s="2">
        <v>4</v>
      </c>
      <c r="Q52" s="2">
        <v>2</v>
      </c>
      <c r="R52" s="2">
        <v>4</v>
      </c>
      <c r="S52" s="2"/>
    </row>
    <row r="53" spans="1:19" x14ac:dyDescent="0.35">
      <c r="A53" s="2" t="s">
        <v>46</v>
      </c>
      <c r="B53" s="7">
        <f>SUM(B31:B52)/22</f>
        <v>3.6818181818181817</v>
      </c>
      <c r="C53" s="7">
        <f>SUM(C31:C52)/22</f>
        <v>4.3181818181818183</v>
      </c>
      <c r="D53" s="7">
        <f>SUM(D31:D52)/22</f>
        <v>3.4545454545454546</v>
      </c>
      <c r="E53" s="7">
        <f>SUM(E31:E52)/22</f>
        <v>2.9545454545454546</v>
      </c>
      <c r="F53" s="7">
        <f>SUM(F31:F52)/22</f>
        <v>3.0454545454545454</v>
      </c>
      <c r="G53" s="7"/>
      <c r="H53" s="7">
        <f t="shared" ref="H53:R53" si="2">SUM(H31:H52)/22</f>
        <v>2.7272727272727271</v>
      </c>
      <c r="I53" s="7">
        <f t="shared" si="2"/>
        <v>3.5454545454545454</v>
      </c>
      <c r="J53" s="7">
        <f t="shared" si="2"/>
        <v>2.9545454545454546</v>
      </c>
      <c r="K53" s="7">
        <f t="shared" si="2"/>
        <v>2.9545454545454546</v>
      </c>
      <c r="L53" s="7">
        <f t="shared" si="2"/>
        <v>2.5454545454545454</v>
      </c>
      <c r="M53" s="7"/>
      <c r="N53" s="7">
        <f t="shared" si="2"/>
        <v>2.6818181818181817</v>
      </c>
      <c r="O53" s="7">
        <f t="shared" si="2"/>
        <v>3.6818181818181817</v>
      </c>
      <c r="P53" s="7">
        <f t="shared" si="2"/>
        <v>3.0454545454545454</v>
      </c>
      <c r="Q53" s="7">
        <f t="shared" si="2"/>
        <v>2</v>
      </c>
      <c r="R53" s="7">
        <f t="shared" si="2"/>
        <v>3</v>
      </c>
      <c r="S53" s="2"/>
    </row>
    <row r="54" spans="1:19" x14ac:dyDescent="0.35">
      <c r="A54" s="2" t="s">
        <v>47</v>
      </c>
      <c r="B54" s="7">
        <f>(B53+H53+N53)/3</f>
        <v>3.0303030303030298</v>
      </c>
      <c r="C54" s="7">
        <f t="shared" ref="C54" si="3">(C53+I53+O53)/3</f>
        <v>3.8484848484848482</v>
      </c>
      <c r="D54" s="7">
        <f t="shared" ref="D54" si="4">(D53+J53+P53)/3</f>
        <v>3.1515151515151518</v>
      </c>
      <c r="E54" s="7">
        <f t="shared" ref="E54" si="5">(E53+K53+Q53)/3</f>
        <v>2.6363636363636362</v>
      </c>
      <c r="F54" s="7">
        <f t="shared" ref="F54" si="6">(F53+L53+R53)/3</f>
        <v>2.8636363636363633</v>
      </c>
      <c r="G54" s="2"/>
      <c r="H54" s="2"/>
      <c r="I54" s="2"/>
      <c r="J54" s="2"/>
      <c r="K54" s="2"/>
      <c r="L54" s="2"/>
      <c r="M54" s="2"/>
      <c r="N54" s="2"/>
      <c r="O54" s="2"/>
      <c r="P54" s="2"/>
      <c r="Q54" s="2"/>
      <c r="R54" s="2"/>
      <c r="S54" s="2"/>
    </row>
  </sheetData>
  <mergeCells count="6">
    <mergeCell ref="B1:F1"/>
    <mergeCell ref="H1:L1"/>
    <mergeCell ref="N1:R1"/>
    <mergeCell ref="B29:F29"/>
    <mergeCell ref="H29:L29"/>
    <mergeCell ref="N29:R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778B7-0FF0-4239-998E-4A9F1FE06C6F}">
  <dimension ref="A1:R49"/>
  <sheetViews>
    <sheetView topLeftCell="A31" workbookViewId="0">
      <selection activeCell="B44" sqref="B44:F44"/>
    </sheetView>
  </sheetViews>
  <sheetFormatPr defaultRowHeight="14.5" x14ac:dyDescent="0.35"/>
  <cols>
    <col min="1" max="1" width="11.1796875" customWidth="1"/>
  </cols>
  <sheetData>
    <row r="1" spans="1:18" x14ac:dyDescent="0.35">
      <c r="A1" s="3" t="s">
        <v>22</v>
      </c>
      <c r="B1" s="20" t="s">
        <v>23</v>
      </c>
      <c r="C1" s="20"/>
      <c r="D1" s="20"/>
      <c r="E1" s="20"/>
      <c r="F1" s="20"/>
      <c r="G1" s="2"/>
      <c r="H1" s="22" t="s">
        <v>24</v>
      </c>
      <c r="I1" s="22"/>
      <c r="J1" s="22"/>
      <c r="K1" s="22"/>
      <c r="L1" s="22"/>
      <c r="M1" s="17"/>
      <c r="N1" s="22" t="s">
        <v>25</v>
      </c>
      <c r="O1" s="22"/>
      <c r="P1" s="22"/>
      <c r="Q1" s="22"/>
      <c r="R1" s="22"/>
    </row>
    <row r="2" spans="1:18" x14ac:dyDescent="0.35">
      <c r="A2" s="2"/>
      <c r="B2" s="12" t="s">
        <v>26</v>
      </c>
      <c r="C2" s="12" t="s">
        <v>27</v>
      </c>
      <c r="D2" s="12" t="s">
        <v>28</v>
      </c>
      <c r="E2" s="12" t="s">
        <v>29</v>
      </c>
      <c r="F2" s="12" t="s">
        <v>30</v>
      </c>
      <c r="G2" s="2"/>
      <c r="H2" s="16" t="s">
        <v>26</v>
      </c>
      <c r="I2" s="16" t="s">
        <v>27</v>
      </c>
      <c r="J2" s="16" t="s">
        <v>28</v>
      </c>
      <c r="K2" s="16" t="s">
        <v>29</v>
      </c>
      <c r="L2" s="16" t="s">
        <v>30</v>
      </c>
      <c r="M2" s="17"/>
      <c r="N2" s="16" t="s">
        <v>26</v>
      </c>
      <c r="O2" s="16" t="s">
        <v>27</v>
      </c>
      <c r="P2" s="16" t="s">
        <v>28</v>
      </c>
      <c r="Q2" s="16" t="s">
        <v>29</v>
      </c>
      <c r="R2" s="16" t="s">
        <v>30</v>
      </c>
    </row>
    <row r="3" spans="1:18" x14ac:dyDescent="0.35">
      <c r="A3" s="2" t="s">
        <v>31</v>
      </c>
      <c r="B3" s="14">
        <v>5</v>
      </c>
      <c r="C3" s="14">
        <v>5</v>
      </c>
      <c r="D3" s="14">
        <v>5</v>
      </c>
      <c r="E3" s="14">
        <v>4</v>
      </c>
      <c r="F3" s="14">
        <v>4</v>
      </c>
      <c r="G3" s="2"/>
      <c r="H3" s="17">
        <v>4</v>
      </c>
      <c r="I3" s="17">
        <v>4</v>
      </c>
      <c r="J3" s="17">
        <v>4</v>
      </c>
      <c r="K3" s="17">
        <v>4</v>
      </c>
      <c r="L3" s="17">
        <v>4</v>
      </c>
      <c r="M3" s="17"/>
      <c r="N3" s="17">
        <v>5</v>
      </c>
      <c r="O3" s="17">
        <v>4</v>
      </c>
      <c r="P3" s="17">
        <v>5</v>
      </c>
      <c r="Q3" s="17">
        <v>5</v>
      </c>
      <c r="R3" s="17">
        <v>4</v>
      </c>
    </row>
    <row r="4" spans="1:18" x14ac:dyDescent="0.35">
      <c r="A4" s="2" t="s">
        <v>32</v>
      </c>
      <c r="B4" s="14">
        <v>3</v>
      </c>
      <c r="C4" s="14">
        <v>4</v>
      </c>
      <c r="D4" s="14">
        <v>3</v>
      </c>
      <c r="E4" s="14">
        <v>4</v>
      </c>
      <c r="F4" s="14">
        <v>5</v>
      </c>
      <c r="G4" s="2"/>
      <c r="H4" s="17">
        <v>4</v>
      </c>
      <c r="I4" s="17">
        <v>5</v>
      </c>
      <c r="J4" s="17">
        <v>5</v>
      </c>
      <c r="K4" s="17">
        <v>4</v>
      </c>
      <c r="L4" s="17">
        <v>4</v>
      </c>
      <c r="M4" s="17"/>
      <c r="N4" s="17">
        <v>4</v>
      </c>
      <c r="O4" s="17">
        <v>5</v>
      </c>
      <c r="P4" s="17">
        <v>4</v>
      </c>
      <c r="Q4" s="17">
        <v>4</v>
      </c>
      <c r="R4" s="17">
        <v>4</v>
      </c>
    </row>
    <row r="5" spans="1:18" x14ac:dyDescent="0.35">
      <c r="A5" s="2" t="s">
        <v>33</v>
      </c>
      <c r="B5" s="14">
        <v>4</v>
      </c>
      <c r="C5" s="14">
        <v>4</v>
      </c>
      <c r="D5" s="14">
        <v>4</v>
      </c>
      <c r="E5" s="14">
        <v>4</v>
      </c>
      <c r="F5" s="14">
        <v>4</v>
      </c>
      <c r="G5" s="2"/>
      <c r="H5" s="17">
        <v>3</v>
      </c>
      <c r="I5" s="17">
        <v>5</v>
      </c>
      <c r="J5" s="17">
        <v>4</v>
      </c>
      <c r="K5" s="17">
        <v>4</v>
      </c>
      <c r="L5" s="17">
        <v>4</v>
      </c>
      <c r="M5" s="17"/>
      <c r="N5" s="17">
        <v>3</v>
      </c>
      <c r="O5" s="17">
        <v>3</v>
      </c>
      <c r="P5" s="17">
        <v>4</v>
      </c>
      <c r="Q5" s="17">
        <v>3</v>
      </c>
      <c r="R5" s="17">
        <v>3</v>
      </c>
    </row>
    <row r="6" spans="1:18" x14ac:dyDescent="0.35">
      <c r="A6" s="2" t="s">
        <v>34</v>
      </c>
      <c r="B6" s="14">
        <v>4</v>
      </c>
      <c r="C6" s="14">
        <v>4</v>
      </c>
      <c r="D6" s="14">
        <v>4</v>
      </c>
      <c r="E6" s="14">
        <v>4</v>
      </c>
      <c r="F6" s="14">
        <v>4</v>
      </c>
      <c r="G6" s="2"/>
      <c r="H6" s="17">
        <v>3</v>
      </c>
      <c r="I6" s="17">
        <v>5</v>
      </c>
      <c r="J6" s="17">
        <v>4</v>
      </c>
      <c r="K6" s="17">
        <v>3</v>
      </c>
      <c r="L6" s="17">
        <v>5</v>
      </c>
      <c r="M6" s="17"/>
      <c r="N6" s="17">
        <v>4</v>
      </c>
      <c r="O6" s="17">
        <v>5</v>
      </c>
      <c r="P6" s="17">
        <v>4</v>
      </c>
      <c r="Q6" s="17">
        <v>3</v>
      </c>
      <c r="R6" s="17">
        <v>5</v>
      </c>
    </row>
    <row r="7" spans="1:18" x14ac:dyDescent="0.35">
      <c r="A7" s="2" t="s">
        <v>35</v>
      </c>
      <c r="B7" s="14">
        <v>5</v>
      </c>
      <c r="C7" s="14">
        <v>4</v>
      </c>
      <c r="D7" s="14">
        <v>4</v>
      </c>
      <c r="E7" s="14">
        <v>4</v>
      </c>
      <c r="F7" s="14">
        <v>4</v>
      </c>
      <c r="G7" s="2"/>
      <c r="H7" s="17">
        <v>3</v>
      </c>
      <c r="I7" s="17">
        <v>5</v>
      </c>
      <c r="J7" s="17">
        <v>5</v>
      </c>
      <c r="K7" s="17">
        <v>4</v>
      </c>
      <c r="L7" s="17">
        <v>4</v>
      </c>
      <c r="M7" s="17"/>
      <c r="N7" s="17">
        <v>5</v>
      </c>
      <c r="O7" s="17">
        <v>5</v>
      </c>
      <c r="P7" s="17">
        <v>5</v>
      </c>
      <c r="Q7" s="17">
        <v>4</v>
      </c>
      <c r="R7" s="17">
        <v>4</v>
      </c>
    </row>
    <row r="8" spans="1:18" x14ac:dyDescent="0.35">
      <c r="A8" s="2" t="s">
        <v>36</v>
      </c>
      <c r="B8" s="14">
        <v>5</v>
      </c>
      <c r="C8" s="14">
        <v>5</v>
      </c>
      <c r="D8" s="14">
        <v>5</v>
      </c>
      <c r="E8" s="14">
        <v>5</v>
      </c>
      <c r="F8" s="14">
        <v>5</v>
      </c>
      <c r="G8" s="2"/>
      <c r="H8" s="17">
        <v>3</v>
      </c>
      <c r="I8" s="17">
        <v>5</v>
      </c>
      <c r="J8" s="17">
        <v>4</v>
      </c>
      <c r="K8" s="17">
        <v>4</v>
      </c>
      <c r="L8" s="17">
        <v>5</v>
      </c>
      <c r="M8" s="17"/>
      <c r="N8" s="17">
        <v>4</v>
      </c>
      <c r="O8" s="17">
        <v>4</v>
      </c>
      <c r="P8" s="17">
        <v>4</v>
      </c>
      <c r="Q8" s="17">
        <v>4</v>
      </c>
      <c r="R8" s="17">
        <v>4</v>
      </c>
    </row>
    <row r="9" spans="1:18" x14ac:dyDescent="0.35">
      <c r="A9" s="2" t="s">
        <v>37</v>
      </c>
      <c r="B9" s="14">
        <v>4</v>
      </c>
      <c r="C9" s="14">
        <v>5</v>
      </c>
      <c r="D9" s="14">
        <v>3</v>
      </c>
      <c r="E9" s="14">
        <v>4</v>
      </c>
      <c r="F9" s="14">
        <v>3</v>
      </c>
      <c r="G9" s="2"/>
      <c r="H9" s="17">
        <v>5</v>
      </c>
      <c r="I9" s="17">
        <v>5</v>
      </c>
      <c r="J9" s="17">
        <v>5</v>
      </c>
      <c r="K9" s="17">
        <v>4</v>
      </c>
      <c r="L9" s="17">
        <v>5</v>
      </c>
      <c r="M9" s="17"/>
      <c r="N9" s="17">
        <v>4</v>
      </c>
      <c r="O9" s="17">
        <v>4</v>
      </c>
      <c r="P9" s="17">
        <v>4</v>
      </c>
      <c r="Q9" s="17">
        <v>4</v>
      </c>
      <c r="R9" s="17">
        <v>4</v>
      </c>
    </row>
    <row r="10" spans="1:18" x14ac:dyDescent="0.35">
      <c r="A10" s="2" t="s">
        <v>38</v>
      </c>
      <c r="B10" s="14">
        <v>3</v>
      </c>
      <c r="C10" s="14">
        <v>4</v>
      </c>
      <c r="D10" s="14">
        <v>2</v>
      </c>
      <c r="E10" s="14">
        <v>3</v>
      </c>
      <c r="F10" s="14">
        <v>3</v>
      </c>
      <c r="G10" s="2"/>
      <c r="H10" s="17">
        <v>5</v>
      </c>
      <c r="I10" s="17">
        <v>5</v>
      </c>
      <c r="J10" s="17">
        <v>5</v>
      </c>
      <c r="K10" s="17">
        <v>5</v>
      </c>
      <c r="L10" s="17">
        <v>5</v>
      </c>
      <c r="M10" s="17"/>
      <c r="N10" s="17">
        <v>5</v>
      </c>
      <c r="O10" s="17">
        <v>5</v>
      </c>
      <c r="P10" s="17">
        <v>5</v>
      </c>
      <c r="Q10" s="17">
        <v>4</v>
      </c>
      <c r="R10" s="17">
        <v>4</v>
      </c>
    </row>
    <row r="11" spans="1:18" x14ac:dyDescent="0.35">
      <c r="A11" s="2" t="s">
        <v>39</v>
      </c>
      <c r="B11" s="14">
        <v>5</v>
      </c>
      <c r="C11" s="14">
        <v>5</v>
      </c>
      <c r="D11" s="14">
        <v>5</v>
      </c>
      <c r="E11" s="14">
        <v>5</v>
      </c>
      <c r="F11" s="14">
        <v>5</v>
      </c>
      <c r="G11" s="2"/>
      <c r="H11" s="17">
        <v>5</v>
      </c>
      <c r="I11" s="17">
        <v>5</v>
      </c>
      <c r="J11" s="17">
        <v>5</v>
      </c>
      <c r="K11" s="17">
        <v>5</v>
      </c>
      <c r="L11" s="17">
        <v>5</v>
      </c>
      <c r="M11" s="17"/>
      <c r="N11" s="17">
        <v>4</v>
      </c>
      <c r="O11" s="17">
        <v>5</v>
      </c>
      <c r="P11" s="17">
        <v>5</v>
      </c>
      <c r="Q11" s="17">
        <v>4</v>
      </c>
      <c r="R11" s="17">
        <v>4</v>
      </c>
    </row>
    <row r="12" spans="1:18" x14ac:dyDescent="0.35">
      <c r="A12" s="2" t="s">
        <v>40</v>
      </c>
      <c r="B12" s="14">
        <v>4</v>
      </c>
      <c r="C12" s="14">
        <v>4</v>
      </c>
      <c r="D12" s="14">
        <v>4</v>
      </c>
      <c r="E12" s="14">
        <v>4</v>
      </c>
      <c r="F12" s="14">
        <v>4</v>
      </c>
      <c r="G12" s="2"/>
      <c r="H12" s="17">
        <v>4</v>
      </c>
      <c r="I12" s="17">
        <v>4</v>
      </c>
      <c r="J12" s="17">
        <v>4</v>
      </c>
      <c r="K12" s="17">
        <v>4</v>
      </c>
      <c r="L12" s="17">
        <v>4</v>
      </c>
      <c r="M12" s="17"/>
      <c r="N12" s="17">
        <v>4</v>
      </c>
      <c r="O12" s="17">
        <v>5</v>
      </c>
      <c r="P12" s="17">
        <v>4</v>
      </c>
      <c r="Q12" s="17">
        <v>5</v>
      </c>
      <c r="R12" s="17">
        <v>4</v>
      </c>
    </row>
    <row r="13" spans="1:18" x14ac:dyDescent="0.35">
      <c r="A13" s="2" t="s">
        <v>41</v>
      </c>
      <c r="B13" s="14">
        <v>5</v>
      </c>
      <c r="C13" s="14">
        <v>5</v>
      </c>
      <c r="D13" s="14">
        <v>5</v>
      </c>
      <c r="E13" s="14">
        <v>5</v>
      </c>
      <c r="F13" s="14">
        <v>5</v>
      </c>
      <c r="G13" s="2"/>
      <c r="H13" s="17">
        <v>4</v>
      </c>
      <c r="I13" s="17">
        <v>5</v>
      </c>
      <c r="J13" s="17">
        <v>4</v>
      </c>
      <c r="K13" s="17">
        <v>5</v>
      </c>
      <c r="L13" s="17">
        <v>5</v>
      </c>
      <c r="M13" s="17"/>
      <c r="N13" s="17">
        <v>5</v>
      </c>
      <c r="O13" s="17">
        <v>5</v>
      </c>
      <c r="P13" s="17">
        <v>5</v>
      </c>
      <c r="Q13" s="17">
        <v>5</v>
      </c>
      <c r="R13" s="17">
        <v>4</v>
      </c>
    </row>
    <row r="14" spans="1:18" x14ac:dyDescent="0.35">
      <c r="A14" s="2" t="s">
        <v>42</v>
      </c>
      <c r="B14" s="14">
        <v>5</v>
      </c>
      <c r="C14" s="14">
        <v>5</v>
      </c>
      <c r="D14" s="14">
        <v>5</v>
      </c>
      <c r="E14" s="14">
        <v>5</v>
      </c>
      <c r="F14" s="14">
        <v>5</v>
      </c>
      <c r="G14" s="2"/>
      <c r="H14" s="17">
        <v>4</v>
      </c>
      <c r="I14" s="17">
        <v>5</v>
      </c>
      <c r="J14" s="17">
        <v>5</v>
      </c>
      <c r="K14" s="17">
        <v>5</v>
      </c>
      <c r="L14" s="17">
        <v>5</v>
      </c>
      <c r="M14" s="17"/>
      <c r="N14" s="17">
        <v>4</v>
      </c>
      <c r="O14" s="17">
        <v>4</v>
      </c>
      <c r="P14" s="17">
        <v>4</v>
      </c>
      <c r="Q14" s="17">
        <v>4</v>
      </c>
      <c r="R14" s="17">
        <v>4</v>
      </c>
    </row>
    <row r="15" spans="1:18" x14ac:dyDescent="0.35">
      <c r="A15" s="2" t="s">
        <v>43</v>
      </c>
      <c r="B15" s="14">
        <v>4</v>
      </c>
      <c r="C15" s="14">
        <v>4</v>
      </c>
      <c r="D15" s="14">
        <v>3</v>
      </c>
      <c r="E15" s="14">
        <v>3</v>
      </c>
      <c r="F15" s="14">
        <v>3</v>
      </c>
      <c r="G15" s="2"/>
      <c r="H15" s="17">
        <v>4</v>
      </c>
      <c r="I15" s="17">
        <v>5</v>
      </c>
      <c r="J15" s="17">
        <v>4</v>
      </c>
      <c r="K15" s="17">
        <v>4</v>
      </c>
      <c r="L15" s="17">
        <v>4</v>
      </c>
      <c r="M15" s="17"/>
      <c r="N15" s="17">
        <v>4</v>
      </c>
      <c r="O15" s="17">
        <v>5</v>
      </c>
      <c r="P15" s="17">
        <v>3</v>
      </c>
      <c r="Q15" s="17">
        <v>4</v>
      </c>
      <c r="R15" s="17">
        <v>3</v>
      </c>
    </row>
    <row r="16" spans="1:18" x14ac:dyDescent="0.35">
      <c r="A16" s="2" t="s">
        <v>44</v>
      </c>
      <c r="B16" s="14">
        <v>5</v>
      </c>
      <c r="C16" s="14">
        <v>5</v>
      </c>
      <c r="D16" s="14">
        <v>5</v>
      </c>
      <c r="E16" s="14">
        <v>5</v>
      </c>
      <c r="F16" s="14">
        <v>5</v>
      </c>
      <c r="G16" s="2"/>
      <c r="H16" s="17">
        <v>4</v>
      </c>
      <c r="I16" s="17">
        <v>5</v>
      </c>
      <c r="J16" s="17">
        <v>4</v>
      </c>
      <c r="K16" s="17">
        <v>4</v>
      </c>
      <c r="L16" s="17">
        <v>4</v>
      </c>
      <c r="M16" s="17"/>
      <c r="N16" s="17">
        <v>5</v>
      </c>
      <c r="O16" s="17">
        <v>4</v>
      </c>
      <c r="P16" s="17">
        <v>5</v>
      </c>
      <c r="Q16" s="17">
        <v>4</v>
      </c>
      <c r="R16" s="17">
        <v>4</v>
      </c>
    </row>
    <row r="17" spans="1:18" x14ac:dyDescent="0.35">
      <c r="A17" s="2" t="s">
        <v>45</v>
      </c>
      <c r="B17" s="14">
        <v>4</v>
      </c>
      <c r="C17" s="14">
        <v>4</v>
      </c>
      <c r="D17" s="14">
        <v>3</v>
      </c>
      <c r="E17" s="14">
        <v>4</v>
      </c>
      <c r="F17" s="14">
        <v>4</v>
      </c>
      <c r="G17" s="2"/>
      <c r="H17" s="17">
        <v>5</v>
      </c>
      <c r="I17" s="17">
        <v>5</v>
      </c>
      <c r="J17" s="17">
        <v>5</v>
      </c>
      <c r="K17" s="17">
        <v>5</v>
      </c>
      <c r="L17" s="17">
        <v>5</v>
      </c>
      <c r="M17" s="17"/>
      <c r="N17" s="17">
        <v>4</v>
      </c>
      <c r="O17" s="17">
        <v>4</v>
      </c>
      <c r="P17" s="17">
        <v>4</v>
      </c>
      <c r="Q17" s="17">
        <v>4</v>
      </c>
      <c r="R17" s="17">
        <v>4</v>
      </c>
    </row>
    <row r="18" spans="1:18" x14ac:dyDescent="0.35">
      <c r="A18" s="2" t="s">
        <v>49</v>
      </c>
      <c r="B18" s="14">
        <v>5</v>
      </c>
      <c r="C18" s="14">
        <v>5</v>
      </c>
      <c r="D18" s="14">
        <v>4</v>
      </c>
      <c r="E18" s="14">
        <v>5</v>
      </c>
      <c r="F18" s="14">
        <v>4</v>
      </c>
      <c r="G18" s="2"/>
      <c r="H18" s="17">
        <v>4</v>
      </c>
      <c r="I18" s="17">
        <v>5</v>
      </c>
      <c r="J18" s="17">
        <v>4</v>
      </c>
      <c r="K18" s="17">
        <v>4</v>
      </c>
      <c r="L18" s="17">
        <v>5</v>
      </c>
      <c r="M18" s="17"/>
      <c r="N18" s="17">
        <v>5</v>
      </c>
      <c r="O18" s="17">
        <v>4</v>
      </c>
      <c r="P18" s="17">
        <v>5</v>
      </c>
      <c r="Q18" s="17">
        <v>5</v>
      </c>
      <c r="R18" s="17">
        <v>4</v>
      </c>
    </row>
    <row r="19" spans="1:18" x14ac:dyDescent="0.35">
      <c r="A19" s="2" t="s">
        <v>50</v>
      </c>
      <c r="B19" s="14">
        <v>4</v>
      </c>
      <c r="C19" s="14">
        <v>4</v>
      </c>
      <c r="D19" s="14">
        <v>4</v>
      </c>
      <c r="E19" s="14">
        <v>4</v>
      </c>
      <c r="F19" s="14">
        <v>4</v>
      </c>
      <c r="G19" s="2"/>
      <c r="H19" s="17">
        <v>5</v>
      </c>
      <c r="I19" s="17">
        <v>5</v>
      </c>
      <c r="J19" s="17">
        <v>5</v>
      </c>
      <c r="K19" s="17">
        <v>5</v>
      </c>
      <c r="L19" s="17">
        <v>5</v>
      </c>
      <c r="M19" s="17"/>
      <c r="N19" s="17">
        <v>5</v>
      </c>
      <c r="O19" s="17">
        <v>4</v>
      </c>
      <c r="P19" s="17">
        <v>4</v>
      </c>
      <c r="Q19" s="17">
        <v>5</v>
      </c>
      <c r="R19" s="17">
        <v>3</v>
      </c>
    </row>
    <row r="20" spans="1:18" x14ac:dyDescent="0.35">
      <c r="A20" s="2" t="s">
        <v>46</v>
      </c>
      <c r="B20" s="7">
        <f>SUM(B3:B19)/17</f>
        <v>4.3529411764705879</v>
      </c>
      <c r="C20" s="7">
        <f>SUM(C3:C19)/17</f>
        <v>4.4705882352941178</v>
      </c>
      <c r="D20" s="7">
        <f>SUM(D3:D19)/17</f>
        <v>4</v>
      </c>
      <c r="E20" s="7">
        <f>SUM(E3:E19)/17</f>
        <v>4.2352941176470589</v>
      </c>
      <c r="F20" s="7">
        <f>SUM(F3:F19)/17</f>
        <v>4.1764705882352944</v>
      </c>
      <c r="G20" s="7"/>
      <c r="H20" s="7">
        <f t="shared" ref="H20:R20" si="0">SUM(H3:H19)/17</f>
        <v>4.0588235294117645</v>
      </c>
      <c r="I20" s="7">
        <f t="shared" si="0"/>
        <v>4.882352941176471</v>
      </c>
      <c r="J20" s="7">
        <f t="shared" si="0"/>
        <v>4.4705882352941178</v>
      </c>
      <c r="K20" s="7">
        <f t="shared" si="0"/>
        <v>4.2941176470588234</v>
      </c>
      <c r="L20" s="7">
        <f t="shared" si="0"/>
        <v>4.5882352941176467</v>
      </c>
      <c r="M20" s="7"/>
      <c r="N20" s="7">
        <f t="shared" si="0"/>
        <v>4.3529411764705879</v>
      </c>
      <c r="O20" s="7">
        <f t="shared" si="0"/>
        <v>4.4117647058823533</v>
      </c>
      <c r="P20" s="7">
        <f t="shared" si="0"/>
        <v>4.3529411764705879</v>
      </c>
      <c r="Q20" s="7">
        <f t="shared" si="0"/>
        <v>4.1764705882352944</v>
      </c>
      <c r="R20" s="7">
        <f t="shared" si="0"/>
        <v>3.8823529411764706</v>
      </c>
    </row>
    <row r="21" spans="1:18" x14ac:dyDescent="0.35">
      <c r="A21" s="2" t="s">
        <v>47</v>
      </c>
      <c r="B21" s="7">
        <f>(B20+H20+N20)/3</f>
        <v>4.2549019607843128</v>
      </c>
      <c r="C21" s="7">
        <f t="shared" ref="C21:F21" si="1">(C20+I20+O20)/3</f>
        <v>4.5882352941176476</v>
      </c>
      <c r="D21" s="7">
        <f t="shared" si="1"/>
        <v>4.2745098039215685</v>
      </c>
      <c r="E21" s="7">
        <f t="shared" si="1"/>
        <v>4.2352941176470589</v>
      </c>
      <c r="F21" s="7">
        <f t="shared" si="1"/>
        <v>4.215686274509804</v>
      </c>
      <c r="G21" s="2"/>
      <c r="H21" s="2"/>
      <c r="I21" s="2"/>
      <c r="J21" s="2"/>
      <c r="K21" s="2"/>
      <c r="L21" s="2"/>
      <c r="M21" s="2"/>
      <c r="N21" s="2"/>
      <c r="O21" s="2"/>
      <c r="P21" s="2"/>
      <c r="Q21" s="2"/>
      <c r="R21" s="2"/>
    </row>
    <row r="24" spans="1:18" x14ac:dyDescent="0.35">
      <c r="A24" s="3" t="s">
        <v>48</v>
      </c>
      <c r="B24" s="21" t="s">
        <v>23</v>
      </c>
      <c r="C24" s="21"/>
      <c r="D24" s="21"/>
      <c r="E24" s="21"/>
      <c r="F24" s="21"/>
      <c r="G24" s="2"/>
      <c r="H24" s="21" t="s">
        <v>24</v>
      </c>
      <c r="I24" s="21"/>
      <c r="J24" s="21"/>
      <c r="K24" s="21"/>
      <c r="L24" s="21"/>
      <c r="M24" s="2"/>
      <c r="N24" s="21" t="s">
        <v>25</v>
      </c>
      <c r="O24" s="21"/>
      <c r="P24" s="21"/>
      <c r="Q24" s="21"/>
      <c r="R24" s="21"/>
    </row>
    <row r="25" spans="1:18" x14ac:dyDescent="0.35">
      <c r="A25" s="2"/>
      <c r="B25" s="3" t="s">
        <v>26</v>
      </c>
      <c r="C25" s="3" t="s">
        <v>27</v>
      </c>
      <c r="D25" s="3" t="s">
        <v>28</v>
      </c>
      <c r="E25" s="3" t="s">
        <v>29</v>
      </c>
      <c r="F25" s="3" t="s">
        <v>30</v>
      </c>
      <c r="G25" s="2"/>
      <c r="H25" s="3" t="s">
        <v>26</v>
      </c>
      <c r="I25" s="3" t="s">
        <v>27</v>
      </c>
      <c r="J25" s="3" t="s">
        <v>28</v>
      </c>
      <c r="K25" s="3" t="s">
        <v>29</v>
      </c>
      <c r="L25" s="3" t="s">
        <v>30</v>
      </c>
      <c r="M25" s="2"/>
      <c r="N25" s="3" t="s">
        <v>26</v>
      </c>
      <c r="O25" s="3" t="s">
        <v>27</v>
      </c>
      <c r="P25" s="3" t="s">
        <v>28</v>
      </c>
      <c r="Q25" s="3" t="s">
        <v>29</v>
      </c>
      <c r="R25" s="3" t="s">
        <v>30</v>
      </c>
    </row>
    <row r="26" spans="1:18" x14ac:dyDescent="0.35">
      <c r="A26" s="2" t="s">
        <v>31</v>
      </c>
      <c r="B26" s="2">
        <v>3</v>
      </c>
      <c r="C26" s="2">
        <v>2</v>
      </c>
      <c r="D26" s="2">
        <v>1</v>
      </c>
      <c r="E26" s="2">
        <v>1</v>
      </c>
      <c r="F26" s="2">
        <v>2</v>
      </c>
      <c r="G26" s="2"/>
      <c r="H26" s="2">
        <v>1</v>
      </c>
      <c r="I26" s="2">
        <v>1</v>
      </c>
      <c r="J26" s="2">
        <v>1</v>
      </c>
      <c r="K26" s="2">
        <v>1</v>
      </c>
      <c r="L26" s="2">
        <v>3</v>
      </c>
      <c r="M26" s="2"/>
      <c r="N26" s="2">
        <v>2</v>
      </c>
      <c r="O26" s="2">
        <v>2</v>
      </c>
      <c r="P26" s="2">
        <v>1</v>
      </c>
      <c r="Q26" s="2">
        <v>1</v>
      </c>
      <c r="R26" s="2">
        <v>2</v>
      </c>
    </row>
    <row r="27" spans="1:18" x14ac:dyDescent="0.35">
      <c r="A27" s="2" t="s">
        <v>32</v>
      </c>
      <c r="B27" s="2">
        <v>4</v>
      </c>
      <c r="C27" s="2">
        <v>4</v>
      </c>
      <c r="D27" s="2">
        <v>4</v>
      </c>
      <c r="E27" s="2">
        <v>2</v>
      </c>
      <c r="F27" s="2">
        <v>3</v>
      </c>
      <c r="G27" s="2"/>
      <c r="H27" s="2">
        <v>5</v>
      </c>
      <c r="I27" s="2">
        <v>4</v>
      </c>
      <c r="J27" s="2">
        <v>4</v>
      </c>
      <c r="K27" s="2">
        <v>4</v>
      </c>
      <c r="L27" s="2">
        <v>4</v>
      </c>
      <c r="M27" s="2"/>
      <c r="N27" s="2">
        <v>3</v>
      </c>
      <c r="O27" s="2">
        <v>4</v>
      </c>
      <c r="P27" s="2">
        <v>3</v>
      </c>
      <c r="Q27" s="2">
        <v>3</v>
      </c>
      <c r="R27" s="2">
        <v>3</v>
      </c>
    </row>
    <row r="28" spans="1:18" x14ac:dyDescent="0.35">
      <c r="A28" s="2" t="s">
        <v>33</v>
      </c>
      <c r="B28" s="2">
        <v>3</v>
      </c>
      <c r="C28" s="2">
        <v>5</v>
      </c>
      <c r="D28" s="2">
        <v>3</v>
      </c>
      <c r="E28" s="2">
        <v>3</v>
      </c>
      <c r="F28" s="2">
        <v>4</v>
      </c>
      <c r="G28" s="2"/>
      <c r="H28" s="2">
        <v>2</v>
      </c>
      <c r="I28" s="2">
        <v>3</v>
      </c>
      <c r="J28" s="2">
        <v>3</v>
      </c>
      <c r="K28" s="2">
        <v>1</v>
      </c>
      <c r="L28" s="2">
        <v>2</v>
      </c>
      <c r="M28" s="2"/>
      <c r="N28" s="2">
        <v>4</v>
      </c>
      <c r="O28" s="2">
        <v>4</v>
      </c>
      <c r="P28" s="2">
        <v>4</v>
      </c>
      <c r="Q28" s="2">
        <v>4</v>
      </c>
      <c r="R28" s="2">
        <v>3</v>
      </c>
    </row>
    <row r="29" spans="1:18" x14ac:dyDescent="0.35">
      <c r="A29" s="2" t="s">
        <v>34</v>
      </c>
      <c r="B29" s="2">
        <v>3</v>
      </c>
      <c r="C29" s="2">
        <v>5</v>
      </c>
      <c r="D29" s="2">
        <v>4</v>
      </c>
      <c r="E29" s="2">
        <v>4</v>
      </c>
      <c r="F29" s="2">
        <v>5</v>
      </c>
      <c r="G29" s="2"/>
      <c r="H29" s="2">
        <v>1</v>
      </c>
      <c r="I29" s="2">
        <v>4</v>
      </c>
      <c r="J29" s="2">
        <v>4</v>
      </c>
      <c r="K29" s="2">
        <v>1</v>
      </c>
      <c r="L29" s="2">
        <v>4</v>
      </c>
      <c r="M29" s="2"/>
      <c r="N29" s="2">
        <v>4</v>
      </c>
      <c r="O29" s="2">
        <v>4</v>
      </c>
      <c r="P29" s="2">
        <v>4</v>
      </c>
      <c r="Q29" s="2">
        <v>4</v>
      </c>
      <c r="R29" s="2">
        <v>5</v>
      </c>
    </row>
    <row r="30" spans="1:18" x14ac:dyDescent="0.35">
      <c r="A30" s="2" t="s">
        <v>35</v>
      </c>
      <c r="B30" s="2">
        <v>4</v>
      </c>
      <c r="C30" s="2">
        <v>5</v>
      </c>
      <c r="D30" s="2">
        <v>4</v>
      </c>
      <c r="E30" s="2">
        <v>4</v>
      </c>
      <c r="F30" s="2">
        <v>4</v>
      </c>
      <c r="G30" s="2"/>
      <c r="H30" s="2">
        <v>2</v>
      </c>
      <c r="I30" s="2">
        <v>4</v>
      </c>
      <c r="J30" s="2">
        <v>3</v>
      </c>
      <c r="K30" s="2">
        <v>1</v>
      </c>
      <c r="L30" s="2">
        <v>4</v>
      </c>
      <c r="M30" s="2"/>
      <c r="N30" s="2">
        <v>5</v>
      </c>
      <c r="O30" s="2">
        <v>4</v>
      </c>
      <c r="P30" s="2">
        <v>4</v>
      </c>
      <c r="Q30" s="2">
        <v>3</v>
      </c>
      <c r="R30" s="2">
        <v>4</v>
      </c>
    </row>
    <row r="31" spans="1:18" x14ac:dyDescent="0.35">
      <c r="A31" s="2" t="s">
        <v>36</v>
      </c>
      <c r="B31" s="2">
        <v>2</v>
      </c>
      <c r="C31" s="2">
        <v>4</v>
      </c>
      <c r="D31" s="2">
        <v>1</v>
      </c>
      <c r="E31" s="2">
        <v>3</v>
      </c>
      <c r="F31" s="2">
        <v>4</v>
      </c>
      <c r="G31" s="2"/>
      <c r="H31" s="2">
        <v>2</v>
      </c>
      <c r="I31" s="2">
        <v>1</v>
      </c>
      <c r="J31" s="2">
        <v>2</v>
      </c>
      <c r="K31" s="2">
        <v>1</v>
      </c>
      <c r="L31" s="2">
        <v>1</v>
      </c>
      <c r="M31" s="2"/>
      <c r="N31" s="2">
        <v>3</v>
      </c>
      <c r="O31" s="2">
        <v>4</v>
      </c>
      <c r="P31" s="2">
        <v>3</v>
      </c>
      <c r="Q31" s="2">
        <v>4</v>
      </c>
      <c r="R31" s="2">
        <v>2</v>
      </c>
    </row>
    <row r="32" spans="1:18" x14ac:dyDescent="0.35">
      <c r="A32" s="2" t="s">
        <v>37</v>
      </c>
      <c r="B32" s="2">
        <v>1</v>
      </c>
      <c r="C32" s="2">
        <v>2</v>
      </c>
      <c r="D32" s="2">
        <v>1</v>
      </c>
      <c r="E32" s="2">
        <v>1</v>
      </c>
      <c r="F32" s="2">
        <v>3</v>
      </c>
      <c r="G32" s="2"/>
      <c r="H32" s="2">
        <v>2</v>
      </c>
      <c r="I32" s="2">
        <v>3</v>
      </c>
      <c r="J32" s="2">
        <v>4</v>
      </c>
      <c r="K32" s="2">
        <v>1</v>
      </c>
      <c r="L32" s="2">
        <v>3</v>
      </c>
      <c r="M32" s="2"/>
      <c r="N32" s="2">
        <v>4</v>
      </c>
      <c r="O32" s="2">
        <v>3</v>
      </c>
      <c r="P32" s="2">
        <v>2</v>
      </c>
      <c r="Q32" s="2">
        <v>2</v>
      </c>
      <c r="R32" s="2">
        <v>3</v>
      </c>
    </row>
    <row r="33" spans="1:18" x14ac:dyDescent="0.35">
      <c r="A33" s="2" t="s">
        <v>38</v>
      </c>
      <c r="B33" s="2">
        <v>2</v>
      </c>
      <c r="C33" s="2">
        <v>3</v>
      </c>
      <c r="D33" s="2">
        <v>1</v>
      </c>
      <c r="E33" s="2">
        <v>1</v>
      </c>
      <c r="F33" s="2">
        <v>3</v>
      </c>
      <c r="G33" s="2"/>
      <c r="H33" s="2">
        <v>3</v>
      </c>
      <c r="I33" s="2">
        <v>4</v>
      </c>
      <c r="J33" s="2">
        <v>2</v>
      </c>
      <c r="K33" s="2">
        <v>2</v>
      </c>
      <c r="L33" s="2">
        <v>2</v>
      </c>
      <c r="M33" s="2"/>
      <c r="N33" s="2">
        <v>4</v>
      </c>
      <c r="O33" s="2">
        <v>5</v>
      </c>
      <c r="P33" s="2">
        <v>3</v>
      </c>
      <c r="Q33" s="2">
        <v>3</v>
      </c>
      <c r="R33" s="2">
        <v>5</v>
      </c>
    </row>
    <row r="34" spans="1:18" x14ac:dyDescent="0.35">
      <c r="A34" s="2" t="s">
        <v>39</v>
      </c>
      <c r="B34" s="2">
        <v>2</v>
      </c>
      <c r="C34" s="2">
        <v>2</v>
      </c>
      <c r="D34" s="2">
        <v>1</v>
      </c>
      <c r="E34" s="2">
        <v>1</v>
      </c>
      <c r="F34" s="2">
        <v>1</v>
      </c>
      <c r="G34" s="2"/>
      <c r="H34" s="2">
        <v>1</v>
      </c>
      <c r="I34" s="2">
        <v>1</v>
      </c>
      <c r="J34" s="2">
        <v>1</v>
      </c>
      <c r="K34" s="2">
        <v>1</v>
      </c>
      <c r="L34" s="2">
        <v>1</v>
      </c>
      <c r="M34" s="2"/>
      <c r="N34" s="2">
        <v>3</v>
      </c>
      <c r="O34" s="2">
        <v>3</v>
      </c>
      <c r="P34" s="2">
        <v>2</v>
      </c>
      <c r="Q34" s="2">
        <v>2</v>
      </c>
      <c r="R34" s="2">
        <v>3</v>
      </c>
    </row>
    <row r="35" spans="1:18" x14ac:dyDescent="0.35">
      <c r="A35" s="2" t="s">
        <v>40</v>
      </c>
      <c r="B35" s="2">
        <v>4</v>
      </c>
      <c r="C35" s="2">
        <v>4</v>
      </c>
      <c r="D35" s="2">
        <v>3</v>
      </c>
      <c r="E35" s="2">
        <v>4</v>
      </c>
      <c r="F35" s="2">
        <v>4</v>
      </c>
      <c r="G35" s="2"/>
      <c r="H35" s="2">
        <v>3</v>
      </c>
      <c r="I35" s="2">
        <v>4</v>
      </c>
      <c r="J35" s="2">
        <v>4</v>
      </c>
      <c r="K35" s="2">
        <v>3</v>
      </c>
      <c r="L35" s="2">
        <v>4</v>
      </c>
      <c r="M35" s="2"/>
      <c r="N35" s="2">
        <v>4</v>
      </c>
      <c r="O35" s="2">
        <v>4</v>
      </c>
      <c r="P35" s="2">
        <v>4</v>
      </c>
      <c r="Q35" s="2">
        <v>3</v>
      </c>
      <c r="R35" s="2">
        <v>4</v>
      </c>
    </row>
    <row r="36" spans="1:18" x14ac:dyDescent="0.35">
      <c r="A36" s="2" t="s">
        <v>41</v>
      </c>
      <c r="B36" s="2">
        <v>3</v>
      </c>
      <c r="C36" s="2">
        <v>5</v>
      </c>
      <c r="D36" s="2">
        <v>3</v>
      </c>
      <c r="E36" s="2">
        <v>3</v>
      </c>
      <c r="F36" s="2">
        <v>4</v>
      </c>
      <c r="G36" s="2"/>
      <c r="H36" s="2">
        <v>4</v>
      </c>
      <c r="I36" s="2">
        <v>4</v>
      </c>
      <c r="J36" s="2">
        <v>4</v>
      </c>
      <c r="K36" s="2">
        <v>2</v>
      </c>
      <c r="L36" s="2">
        <v>4</v>
      </c>
      <c r="M36" s="2"/>
      <c r="N36" s="2">
        <v>4</v>
      </c>
      <c r="O36" s="2">
        <v>4</v>
      </c>
      <c r="P36" s="2">
        <v>4</v>
      </c>
      <c r="Q36" s="2">
        <v>3</v>
      </c>
      <c r="R36" s="2">
        <v>3</v>
      </c>
    </row>
    <row r="37" spans="1:18" x14ac:dyDescent="0.35">
      <c r="A37" s="2" t="s">
        <v>42</v>
      </c>
      <c r="B37" s="2">
        <v>3</v>
      </c>
      <c r="C37" s="2">
        <v>5</v>
      </c>
      <c r="D37" s="2">
        <v>3</v>
      </c>
      <c r="E37" s="2">
        <v>3</v>
      </c>
      <c r="F37" s="2">
        <v>3</v>
      </c>
      <c r="G37" s="2"/>
      <c r="H37" s="2">
        <v>3</v>
      </c>
      <c r="I37" s="2">
        <v>4</v>
      </c>
      <c r="J37" s="2">
        <v>3</v>
      </c>
      <c r="K37" s="2">
        <v>2</v>
      </c>
      <c r="L37" s="2">
        <v>3</v>
      </c>
      <c r="M37" s="2"/>
      <c r="N37" s="2">
        <v>4</v>
      </c>
      <c r="O37" s="2">
        <v>4</v>
      </c>
      <c r="P37" s="2">
        <v>3</v>
      </c>
      <c r="Q37" s="2">
        <v>3</v>
      </c>
      <c r="R37" s="2">
        <v>4</v>
      </c>
    </row>
    <row r="38" spans="1:18" x14ac:dyDescent="0.35">
      <c r="A38" s="2" t="s">
        <v>43</v>
      </c>
      <c r="B38" s="2">
        <v>4</v>
      </c>
      <c r="C38" s="2">
        <v>5</v>
      </c>
      <c r="D38" s="2">
        <v>5</v>
      </c>
      <c r="E38" s="2">
        <v>5</v>
      </c>
      <c r="F38" s="2">
        <v>4</v>
      </c>
      <c r="G38" s="2"/>
      <c r="H38" s="2">
        <v>4</v>
      </c>
      <c r="I38" s="2">
        <v>3</v>
      </c>
      <c r="J38" s="2">
        <v>5</v>
      </c>
      <c r="K38" s="2">
        <v>3</v>
      </c>
      <c r="L38" s="2">
        <v>4</v>
      </c>
      <c r="M38" s="2"/>
      <c r="N38" s="2">
        <v>5</v>
      </c>
      <c r="O38" s="2">
        <v>1</v>
      </c>
      <c r="P38" s="2">
        <v>5</v>
      </c>
      <c r="Q38" s="2">
        <v>1</v>
      </c>
      <c r="R38" s="2">
        <v>4</v>
      </c>
    </row>
    <row r="39" spans="1:18" x14ac:dyDescent="0.35">
      <c r="A39" s="2" t="s">
        <v>44</v>
      </c>
      <c r="B39" s="2">
        <v>3</v>
      </c>
      <c r="C39" s="2">
        <v>4</v>
      </c>
      <c r="D39" s="2">
        <v>3</v>
      </c>
      <c r="E39" s="2">
        <v>3</v>
      </c>
      <c r="F39" s="2">
        <v>3</v>
      </c>
      <c r="G39" s="2"/>
      <c r="H39" s="2">
        <v>3</v>
      </c>
      <c r="I39" s="2">
        <v>3</v>
      </c>
      <c r="J39" s="2">
        <v>4</v>
      </c>
      <c r="K39" s="2">
        <v>3</v>
      </c>
      <c r="L39" s="2">
        <v>3</v>
      </c>
      <c r="M39" s="2"/>
      <c r="N39" s="2">
        <v>4</v>
      </c>
      <c r="O39" s="2">
        <v>3</v>
      </c>
      <c r="P39" s="2">
        <v>3</v>
      </c>
      <c r="Q39" s="2">
        <v>3</v>
      </c>
      <c r="R39" s="2">
        <v>4</v>
      </c>
    </row>
    <row r="40" spans="1:18" x14ac:dyDescent="0.35">
      <c r="A40" s="2" t="s">
        <v>45</v>
      </c>
      <c r="B40" s="2">
        <v>1</v>
      </c>
      <c r="C40" s="2">
        <v>3</v>
      </c>
      <c r="D40" s="2">
        <v>1</v>
      </c>
      <c r="E40" s="2">
        <v>1</v>
      </c>
      <c r="F40" s="2">
        <v>2</v>
      </c>
      <c r="G40" s="2"/>
      <c r="H40" s="2">
        <v>3</v>
      </c>
      <c r="I40" s="2">
        <v>3</v>
      </c>
      <c r="J40" s="2">
        <v>3</v>
      </c>
      <c r="K40" s="2">
        <v>1</v>
      </c>
      <c r="L40" s="2">
        <v>3</v>
      </c>
      <c r="M40" s="2"/>
      <c r="N40" s="2">
        <v>2</v>
      </c>
      <c r="O40" s="2">
        <v>2</v>
      </c>
      <c r="P40" s="2">
        <v>1</v>
      </c>
      <c r="Q40" s="2">
        <v>2</v>
      </c>
      <c r="R40" s="2">
        <v>2</v>
      </c>
    </row>
    <row r="41" spans="1:18" x14ac:dyDescent="0.35">
      <c r="A41" s="2" t="s">
        <v>49</v>
      </c>
      <c r="B41" s="2">
        <v>3</v>
      </c>
      <c r="C41" s="2">
        <v>4</v>
      </c>
      <c r="D41" s="2">
        <v>3</v>
      </c>
      <c r="E41" s="2">
        <v>3</v>
      </c>
      <c r="F41" s="2">
        <v>4</v>
      </c>
      <c r="G41" s="2"/>
      <c r="H41" s="2">
        <v>3</v>
      </c>
      <c r="I41" s="2">
        <v>3</v>
      </c>
      <c r="J41" s="2">
        <v>3</v>
      </c>
      <c r="K41" s="2">
        <v>1</v>
      </c>
      <c r="L41" s="2">
        <v>3</v>
      </c>
      <c r="M41" s="2"/>
      <c r="N41" s="2">
        <v>3</v>
      </c>
      <c r="O41" s="2">
        <v>3</v>
      </c>
      <c r="P41" s="2">
        <v>3</v>
      </c>
      <c r="Q41" s="2">
        <v>3</v>
      </c>
      <c r="R41" s="2">
        <v>3</v>
      </c>
    </row>
    <row r="42" spans="1:18" x14ac:dyDescent="0.35">
      <c r="A42" s="2" t="s">
        <v>50</v>
      </c>
      <c r="B42" s="2">
        <v>4</v>
      </c>
      <c r="C42" s="2">
        <v>5</v>
      </c>
      <c r="D42" s="2">
        <v>4</v>
      </c>
      <c r="E42" s="2">
        <v>3</v>
      </c>
      <c r="F42" s="2">
        <v>4</v>
      </c>
      <c r="G42" s="2"/>
      <c r="H42" s="2">
        <v>3</v>
      </c>
      <c r="I42" s="2">
        <v>4</v>
      </c>
      <c r="J42" s="2">
        <v>4</v>
      </c>
      <c r="K42" s="2">
        <v>3</v>
      </c>
      <c r="L42" s="2">
        <v>4</v>
      </c>
      <c r="M42" s="2"/>
      <c r="N42" s="2">
        <v>5</v>
      </c>
      <c r="O42" s="2">
        <v>5</v>
      </c>
      <c r="P42" s="2">
        <v>4</v>
      </c>
      <c r="Q42" s="2">
        <v>4</v>
      </c>
      <c r="R42" s="2">
        <v>4</v>
      </c>
    </row>
    <row r="43" spans="1:18" x14ac:dyDescent="0.35">
      <c r="A43" s="2" t="s">
        <v>46</v>
      </c>
      <c r="B43" s="7">
        <f>SUM(B26:B42)/17</f>
        <v>2.8823529411764706</v>
      </c>
      <c r="C43" s="7">
        <f>SUM(C26:C42)/17</f>
        <v>3.9411764705882355</v>
      </c>
      <c r="D43" s="7">
        <f>SUM(D26:D42)/17</f>
        <v>2.6470588235294117</v>
      </c>
      <c r="E43" s="7">
        <f>SUM(E26:E42)/17</f>
        <v>2.6470588235294117</v>
      </c>
      <c r="F43" s="7">
        <f>SUM(F26:F42)/17</f>
        <v>3.3529411764705883</v>
      </c>
      <c r="G43" s="7"/>
      <c r="H43" s="7">
        <f t="shared" ref="H43:R43" si="2">SUM(H26:H42)/17</f>
        <v>2.6470588235294117</v>
      </c>
      <c r="I43" s="7">
        <f t="shared" si="2"/>
        <v>3.1176470588235294</v>
      </c>
      <c r="J43" s="7">
        <f t="shared" si="2"/>
        <v>3.1764705882352939</v>
      </c>
      <c r="K43" s="7">
        <f t="shared" si="2"/>
        <v>1.8235294117647058</v>
      </c>
      <c r="L43" s="7">
        <f t="shared" si="2"/>
        <v>3.0588235294117645</v>
      </c>
      <c r="M43" s="7"/>
      <c r="N43" s="7">
        <f t="shared" si="2"/>
        <v>3.7058823529411766</v>
      </c>
      <c r="O43" s="7">
        <f t="shared" si="2"/>
        <v>3.4705882352941178</v>
      </c>
      <c r="P43" s="7">
        <f t="shared" si="2"/>
        <v>3.1176470588235294</v>
      </c>
      <c r="Q43" s="7">
        <f t="shared" si="2"/>
        <v>2.8235294117647061</v>
      </c>
      <c r="R43" s="7">
        <f t="shared" si="2"/>
        <v>3.4117647058823528</v>
      </c>
    </row>
    <row r="44" spans="1:18" x14ac:dyDescent="0.35">
      <c r="A44" s="2" t="s">
        <v>47</v>
      </c>
      <c r="B44" s="7">
        <f>(B43+H43+N43)/3</f>
        <v>3.0784313725490193</v>
      </c>
      <c r="C44" s="7">
        <f t="shared" ref="C44" si="3">(C43+I43+O43)/3</f>
        <v>3.5098039215686274</v>
      </c>
      <c r="D44" s="7">
        <f t="shared" ref="D44" si="4">(D43+J43+P43)/3</f>
        <v>2.9803921568627452</v>
      </c>
      <c r="E44" s="7">
        <f t="shared" ref="E44" si="5">(E43+K43+Q43)/3</f>
        <v>2.4313725490196081</v>
      </c>
      <c r="F44" s="7">
        <f t="shared" ref="F44" si="6">(F43+L43+R43)/3</f>
        <v>3.274509803921569</v>
      </c>
      <c r="G44" s="2"/>
      <c r="H44" s="2"/>
      <c r="I44" s="2"/>
      <c r="J44" s="2"/>
      <c r="K44" s="2"/>
      <c r="L44" s="2"/>
      <c r="M44" s="2"/>
      <c r="N44" s="2"/>
      <c r="O44" s="2"/>
      <c r="P44" s="2"/>
      <c r="Q44" s="2"/>
      <c r="R44" s="2"/>
    </row>
    <row r="49" spans="2:11" x14ac:dyDescent="0.35">
      <c r="B49" s="10"/>
      <c r="C49" s="10"/>
      <c r="D49" s="10"/>
      <c r="E49" s="10"/>
      <c r="F49" s="10"/>
      <c r="G49" s="10"/>
      <c r="H49" s="10"/>
      <c r="I49" s="10"/>
      <c r="J49" s="10"/>
      <c r="K49" s="10"/>
    </row>
  </sheetData>
  <mergeCells count="6">
    <mergeCell ref="B1:F1"/>
    <mergeCell ref="H1:L1"/>
    <mergeCell ref="N1:R1"/>
    <mergeCell ref="B24:F24"/>
    <mergeCell ref="H24:L24"/>
    <mergeCell ref="N24:R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4DADE-F3A0-4D04-85A1-DB3A25853B5E}">
  <dimension ref="A1:R36"/>
  <sheetViews>
    <sheetView topLeftCell="A30" zoomScale="85" zoomScaleNormal="85" workbookViewId="0">
      <selection activeCell="B36" sqref="B36:F36"/>
    </sheetView>
  </sheetViews>
  <sheetFormatPr defaultRowHeight="14.5" x14ac:dyDescent="0.35"/>
  <sheetData>
    <row r="1" spans="1:18" x14ac:dyDescent="0.35">
      <c r="A1" s="3" t="s">
        <v>22</v>
      </c>
      <c r="B1" s="22" t="s">
        <v>23</v>
      </c>
      <c r="C1" s="22"/>
      <c r="D1" s="22"/>
      <c r="E1" s="22"/>
      <c r="F1" s="22"/>
      <c r="G1" s="2"/>
      <c r="H1" s="20" t="s">
        <v>24</v>
      </c>
      <c r="I1" s="20"/>
      <c r="J1" s="20"/>
      <c r="K1" s="20"/>
      <c r="L1" s="20"/>
      <c r="M1" s="14"/>
      <c r="N1" s="20" t="s">
        <v>25</v>
      </c>
      <c r="O1" s="20"/>
      <c r="P1" s="20"/>
      <c r="Q1" s="20"/>
      <c r="R1" s="20"/>
    </row>
    <row r="2" spans="1:18" x14ac:dyDescent="0.35">
      <c r="A2" s="2"/>
      <c r="B2" s="16" t="s">
        <v>26</v>
      </c>
      <c r="C2" s="16" t="s">
        <v>27</v>
      </c>
      <c r="D2" s="16" t="s">
        <v>28</v>
      </c>
      <c r="E2" s="16" t="s">
        <v>29</v>
      </c>
      <c r="F2" s="16" t="s">
        <v>30</v>
      </c>
      <c r="G2" s="2"/>
      <c r="H2" s="12" t="s">
        <v>26</v>
      </c>
      <c r="I2" s="12" t="s">
        <v>27</v>
      </c>
      <c r="J2" s="12" t="s">
        <v>28</v>
      </c>
      <c r="K2" s="12" t="s">
        <v>29</v>
      </c>
      <c r="L2" s="12" t="s">
        <v>30</v>
      </c>
      <c r="M2" s="14"/>
      <c r="N2" s="12" t="s">
        <v>26</v>
      </c>
      <c r="O2" s="12" t="s">
        <v>27</v>
      </c>
      <c r="P2" s="12" t="s">
        <v>28</v>
      </c>
      <c r="Q2" s="12" t="s">
        <v>29</v>
      </c>
      <c r="R2" s="12" t="s">
        <v>30</v>
      </c>
    </row>
    <row r="3" spans="1:18" x14ac:dyDescent="0.35">
      <c r="A3" s="2" t="s">
        <v>31</v>
      </c>
      <c r="B3" s="18">
        <v>4</v>
      </c>
      <c r="C3" s="18">
        <v>4</v>
      </c>
      <c r="D3" s="18">
        <v>3</v>
      </c>
      <c r="E3" s="18">
        <v>4</v>
      </c>
      <c r="F3" s="18">
        <v>3</v>
      </c>
      <c r="G3" s="2"/>
      <c r="H3" s="13">
        <v>4</v>
      </c>
      <c r="I3" s="13">
        <v>4</v>
      </c>
      <c r="J3" s="13">
        <v>4</v>
      </c>
      <c r="K3" s="13">
        <v>4</v>
      </c>
      <c r="L3" s="13">
        <v>4</v>
      </c>
      <c r="M3" s="14"/>
      <c r="N3" s="13">
        <v>5</v>
      </c>
      <c r="O3" s="13">
        <v>4</v>
      </c>
      <c r="P3" s="13">
        <v>3</v>
      </c>
      <c r="Q3" s="13">
        <v>2</v>
      </c>
      <c r="R3" s="13">
        <v>4</v>
      </c>
    </row>
    <row r="4" spans="1:18" x14ac:dyDescent="0.35">
      <c r="A4" s="2" t="s">
        <v>32</v>
      </c>
      <c r="B4" s="18">
        <v>4</v>
      </c>
      <c r="C4" s="18">
        <v>4</v>
      </c>
      <c r="D4" s="18">
        <v>4</v>
      </c>
      <c r="E4" s="18">
        <v>4</v>
      </c>
      <c r="F4" s="18">
        <v>3</v>
      </c>
      <c r="G4" s="2"/>
      <c r="H4" s="13">
        <v>4</v>
      </c>
      <c r="I4" s="13">
        <v>4</v>
      </c>
      <c r="J4" s="13">
        <v>5</v>
      </c>
      <c r="K4" s="13">
        <v>5</v>
      </c>
      <c r="L4" s="13">
        <v>4</v>
      </c>
      <c r="M4" s="14"/>
      <c r="N4" s="13">
        <v>3</v>
      </c>
      <c r="O4" s="13">
        <v>3</v>
      </c>
      <c r="P4" s="13">
        <v>3</v>
      </c>
      <c r="Q4" s="13">
        <v>3</v>
      </c>
      <c r="R4" s="13">
        <v>3</v>
      </c>
    </row>
    <row r="5" spans="1:18" x14ac:dyDescent="0.35">
      <c r="A5" s="2" t="s">
        <v>33</v>
      </c>
      <c r="B5" s="18">
        <v>4</v>
      </c>
      <c r="C5" s="18">
        <v>4</v>
      </c>
      <c r="D5" s="18">
        <v>4</v>
      </c>
      <c r="E5" s="18">
        <v>4</v>
      </c>
      <c r="F5" s="18">
        <v>4</v>
      </c>
      <c r="G5" s="2"/>
      <c r="H5" s="13">
        <v>4</v>
      </c>
      <c r="I5" s="13">
        <v>4</v>
      </c>
      <c r="J5" s="13">
        <v>4</v>
      </c>
      <c r="K5" s="13">
        <v>5</v>
      </c>
      <c r="L5" s="13">
        <v>4</v>
      </c>
      <c r="M5" s="14"/>
      <c r="N5" s="13">
        <v>5</v>
      </c>
      <c r="O5" s="13">
        <v>4</v>
      </c>
      <c r="P5" s="13">
        <v>4</v>
      </c>
      <c r="Q5" s="13">
        <v>5</v>
      </c>
      <c r="R5" s="13">
        <v>4</v>
      </c>
    </row>
    <row r="6" spans="1:18" x14ac:dyDescent="0.35">
      <c r="A6" s="2" t="s">
        <v>34</v>
      </c>
      <c r="B6" s="18">
        <v>4</v>
      </c>
      <c r="C6" s="18">
        <v>5</v>
      </c>
      <c r="D6" s="18">
        <v>4</v>
      </c>
      <c r="E6" s="18">
        <v>4</v>
      </c>
      <c r="F6" s="18">
        <v>4</v>
      </c>
      <c r="G6" s="2"/>
      <c r="H6" s="13">
        <v>4</v>
      </c>
      <c r="I6" s="13">
        <v>5</v>
      </c>
      <c r="J6" s="13">
        <v>5</v>
      </c>
      <c r="K6" s="13">
        <v>5</v>
      </c>
      <c r="L6" s="13">
        <v>4</v>
      </c>
      <c r="M6" s="14"/>
      <c r="N6" s="13">
        <v>5</v>
      </c>
      <c r="O6" s="13">
        <v>4</v>
      </c>
      <c r="P6" s="13">
        <v>5</v>
      </c>
      <c r="Q6" s="13">
        <v>5</v>
      </c>
      <c r="R6" s="13">
        <v>5</v>
      </c>
    </row>
    <row r="7" spans="1:18" x14ac:dyDescent="0.35">
      <c r="A7" s="2" t="s">
        <v>35</v>
      </c>
      <c r="B7" s="18">
        <v>4</v>
      </c>
      <c r="C7" s="18">
        <v>5</v>
      </c>
      <c r="D7" s="18">
        <v>4</v>
      </c>
      <c r="E7" s="18">
        <v>4</v>
      </c>
      <c r="F7" s="18">
        <v>4</v>
      </c>
      <c r="G7" s="2"/>
      <c r="H7" s="13">
        <v>4</v>
      </c>
      <c r="I7" s="13">
        <v>4</v>
      </c>
      <c r="J7" s="13">
        <v>4</v>
      </c>
      <c r="K7" s="13">
        <v>5</v>
      </c>
      <c r="L7" s="13">
        <v>4</v>
      </c>
      <c r="M7" s="14"/>
      <c r="N7" s="13">
        <v>4</v>
      </c>
      <c r="O7" s="13">
        <v>4</v>
      </c>
      <c r="P7" s="13">
        <v>4</v>
      </c>
      <c r="Q7" s="13">
        <v>4</v>
      </c>
      <c r="R7" s="13">
        <v>4</v>
      </c>
    </row>
    <row r="8" spans="1:18" x14ac:dyDescent="0.35">
      <c r="A8" s="2" t="s">
        <v>36</v>
      </c>
      <c r="B8" s="18">
        <v>3</v>
      </c>
      <c r="C8" s="18">
        <v>4</v>
      </c>
      <c r="D8" s="18">
        <v>4</v>
      </c>
      <c r="E8" s="18">
        <v>3</v>
      </c>
      <c r="F8" s="18">
        <v>4</v>
      </c>
      <c r="G8" s="2"/>
      <c r="H8" s="13">
        <v>4</v>
      </c>
      <c r="I8" s="13">
        <v>4</v>
      </c>
      <c r="J8" s="13">
        <v>4</v>
      </c>
      <c r="K8" s="13">
        <v>4</v>
      </c>
      <c r="L8" s="13">
        <v>4</v>
      </c>
      <c r="M8" s="14"/>
      <c r="N8" s="13">
        <v>4</v>
      </c>
      <c r="O8" s="13">
        <v>5</v>
      </c>
      <c r="P8" s="13">
        <v>4</v>
      </c>
      <c r="Q8" s="13">
        <v>5</v>
      </c>
      <c r="R8" s="13">
        <v>4</v>
      </c>
    </row>
    <row r="9" spans="1:18" x14ac:dyDescent="0.35">
      <c r="A9" s="2" t="s">
        <v>37</v>
      </c>
      <c r="B9" s="18">
        <v>4</v>
      </c>
      <c r="C9" s="18">
        <v>4</v>
      </c>
      <c r="D9" s="18">
        <v>4</v>
      </c>
      <c r="E9" s="18">
        <v>3</v>
      </c>
      <c r="F9" s="18">
        <v>4</v>
      </c>
      <c r="G9" s="2"/>
      <c r="H9" s="13">
        <v>2</v>
      </c>
      <c r="I9" s="13">
        <v>2</v>
      </c>
      <c r="J9" s="13">
        <v>3</v>
      </c>
      <c r="K9" s="13">
        <v>2</v>
      </c>
      <c r="L9" s="13">
        <v>4</v>
      </c>
      <c r="M9" s="14"/>
      <c r="N9" s="13">
        <v>4</v>
      </c>
      <c r="O9" s="13">
        <v>5</v>
      </c>
      <c r="P9" s="13">
        <v>3</v>
      </c>
      <c r="Q9" s="13">
        <v>3</v>
      </c>
      <c r="R9" s="13">
        <v>4</v>
      </c>
    </row>
    <row r="10" spans="1:18" x14ac:dyDescent="0.35">
      <c r="A10" s="2" t="s">
        <v>38</v>
      </c>
      <c r="B10" s="18">
        <v>3</v>
      </c>
      <c r="C10" s="18">
        <v>4</v>
      </c>
      <c r="D10" s="18">
        <v>4</v>
      </c>
      <c r="E10" s="18">
        <v>4</v>
      </c>
      <c r="F10" s="18">
        <v>4</v>
      </c>
      <c r="G10" s="2"/>
      <c r="H10" s="13">
        <v>3</v>
      </c>
      <c r="I10" s="13">
        <v>2</v>
      </c>
      <c r="J10" s="13">
        <v>2</v>
      </c>
      <c r="K10" s="13">
        <v>2</v>
      </c>
      <c r="L10" s="13">
        <v>2</v>
      </c>
      <c r="M10" s="14"/>
      <c r="N10" s="13">
        <v>4</v>
      </c>
      <c r="O10" s="13">
        <v>4</v>
      </c>
      <c r="P10" s="13">
        <v>4</v>
      </c>
      <c r="Q10" s="13">
        <v>4</v>
      </c>
      <c r="R10" s="13">
        <v>4</v>
      </c>
    </row>
    <row r="11" spans="1:18" x14ac:dyDescent="0.35">
      <c r="A11" s="2" t="s">
        <v>39</v>
      </c>
      <c r="B11" s="18">
        <v>3</v>
      </c>
      <c r="C11" s="18">
        <v>4</v>
      </c>
      <c r="D11" s="18">
        <v>3</v>
      </c>
      <c r="E11" s="18">
        <v>3</v>
      </c>
      <c r="F11" s="18">
        <v>3</v>
      </c>
      <c r="G11" s="2"/>
      <c r="H11" s="13">
        <v>2</v>
      </c>
      <c r="I11" s="13">
        <v>3</v>
      </c>
      <c r="J11" s="13">
        <v>3</v>
      </c>
      <c r="K11" s="13">
        <v>2</v>
      </c>
      <c r="L11" s="13">
        <v>2</v>
      </c>
      <c r="M11" s="14"/>
      <c r="N11" s="13">
        <v>4</v>
      </c>
      <c r="O11" s="13">
        <v>4</v>
      </c>
      <c r="P11" s="13">
        <v>4</v>
      </c>
      <c r="Q11" s="13">
        <v>4</v>
      </c>
      <c r="R11" s="13">
        <v>4</v>
      </c>
    </row>
    <row r="12" spans="1:18" x14ac:dyDescent="0.35">
      <c r="A12" s="2" t="s">
        <v>40</v>
      </c>
      <c r="B12" s="18">
        <v>3</v>
      </c>
      <c r="C12" s="18">
        <v>3</v>
      </c>
      <c r="D12" s="18">
        <v>4</v>
      </c>
      <c r="E12" s="18">
        <v>2</v>
      </c>
      <c r="F12" s="18">
        <v>3</v>
      </c>
      <c r="G12" s="2"/>
      <c r="H12" s="13">
        <v>3</v>
      </c>
      <c r="I12" s="13">
        <v>2</v>
      </c>
      <c r="J12" s="13">
        <v>2</v>
      </c>
      <c r="K12" s="13">
        <v>3</v>
      </c>
      <c r="L12" s="13">
        <v>2</v>
      </c>
      <c r="M12" s="14"/>
      <c r="N12" s="13">
        <v>4</v>
      </c>
      <c r="O12" s="13">
        <v>4</v>
      </c>
      <c r="P12" s="13">
        <v>4</v>
      </c>
      <c r="Q12" s="13">
        <v>4</v>
      </c>
      <c r="R12" s="13">
        <v>4</v>
      </c>
    </row>
    <row r="13" spans="1:18" x14ac:dyDescent="0.35">
      <c r="A13" s="2" t="s">
        <v>41</v>
      </c>
      <c r="B13" s="18">
        <v>4</v>
      </c>
      <c r="C13" s="18">
        <v>4</v>
      </c>
      <c r="D13" s="18">
        <v>4</v>
      </c>
      <c r="E13" s="18">
        <v>4</v>
      </c>
      <c r="F13" s="18">
        <v>4</v>
      </c>
      <c r="G13" s="2"/>
      <c r="H13" s="13">
        <v>3</v>
      </c>
      <c r="I13" s="13">
        <v>3</v>
      </c>
      <c r="J13" s="13">
        <v>3</v>
      </c>
      <c r="K13" s="13">
        <v>3</v>
      </c>
      <c r="L13" s="13">
        <v>2</v>
      </c>
      <c r="M13" s="14"/>
      <c r="N13" s="13">
        <v>4</v>
      </c>
      <c r="O13" s="13">
        <v>3</v>
      </c>
      <c r="P13" s="13">
        <v>4</v>
      </c>
      <c r="Q13" s="13">
        <v>3</v>
      </c>
      <c r="R13" s="13">
        <v>3</v>
      </c>
    </row>
    <row r="14" spans="1:18" x14ac:dyDescent="0.35">
      <c r="A14" s="2" t="s">
        <v>42</v>
      </c>
      <c r="B14" s="18">
        <v>3</v>
      </c>
      <c r="C14" s="18">
        <v>4</v>
      </c>
      <c r="D14" s="18">
        <v>4</v>
      </c>
      <c r="E14" s="18">
        <v>3</v>
      </c>
      <c r="F14" s="18">
        <v>3</v>
      </c>
      <c r="G14" s="2"/>
      <c r="H14" s="13">
        <v>3</v>
      </c>
      <c r="I14" s="13">
        <v>3</v>
      </c>
      <c r="J14" s="13">
        <v>3</v>
      </c>
      <c r="K14" s="13">
        <v>3</v>
      </c>
      <c r="L14" s="13">
        <v>2</v>
      </c>
      <c r="M14" s="14"/>
      <c r="N14" s="13">
        <v>4</v>
      </c>
      <c r="O14" s="13">
        <v>4</v>
      </c>
      <c r="P14" s="13">
        <v>4</v>
      </c>
      <c r="Q14" s="13">
        <v>4</v>
      </c>
      <c r="R14" s="13">
        <v>4</v>
      </c>
    </row>
    <row r="15" spans="1:18" x14ac:dyDescent="0.35">
      <c r="A15" s="2" t="s">
        <v>43</v>
      </c>
      <c r="B15" s="18">
        <v>4</v>
      </c>
      <c r="C15" s="18">
        <v>4</v>
      </c>
      <c r="D15" s="18">
        <v>4</v>
      </c>
      <c r="E15" s="18">
        <v>3</v>
      </c>
      <c r="F15" s="18">
        <v>4</v>
      </c>
      <c r="G15" s="2"/>
      <c r="H15" s="13">
        <v>3</v>
      </c>
      <c r="I15" s="13">
        <v>2</v>
      </c>
      <c r="J15" s="13">
        <v>2</v>
      </c>
      <c r="K15" s="13">
        <v>3</v>
      </c>
      <c r="L15" s="13">
        <v>2</v>
      </c>
      <c r="M15" s="14"/>
      <c r="N15" s="13">
        <v>4</v>
      </c>
      <c r="O15" s="13">
        <v>3</v>
      </c>
      <c r="P15" s="13">
        <v>4</v>
      </c>
      <c r="Q15" s="13">
        <v>3</v>
      </c>
      <c r="R15" s="13">
        <v>3</v>
      </c>
    </row>
    <row r="16" spans="1:18" x14ac:dyDescent="0.35">
      <c r="A16" s="2" t="s">
        <v>46</v>
      </c>
      <c r="B16" s="7">
        <f>SUM(B3:B15)/13</f>
        <v>3.6153846153846154</v>
      </c>
      <c r="C16" s="7">
        <f>SUM(C3:C15)/13</f>
        <v>4.0769230769230766</v>
      </c>
      <c r="D16" s="7">
        <f t="shared" ref="D16:R16" si="0">SUM(D3:D15)/13</f>
        <v>3.8461538461538463</v>
      </c>
      <c r="E16" s="7">
        <f t="shared" si="0"/>
        <v>3.4615384615384617</v>
      </c>
      <c r="F16" s="7">
        <f t="shared" si="0"/>
        <v>3.6153846153846154</v>
      </c>
      <c r="G16" s="7"/>
      <c r="H16" s="7">
        <f t="shared" si="0"/>
        <v>3.3076923076923075</v>
      </c>
      <c r="I16" s="7">
        <f t="shared" si="0"/>
        <v>3.2307692307692308</v>
      </c>
      <c r="J16" s="7">
        <f t="shared" si="0"/>
        <v>3.3846153846153846</v>
      </c>
      <c r="K16" s="7">
        <f t="shared" si="0"/>
        <v>3.5384615384615383</v>
      </c>
      <c r="L16" s="7">
        <f t="shared" si="0"/>
        <v>3.0769230769230771</v>
      </c>
      <c r="M16" s="7"/>
      <c r="N16" s="7">
        <f t="shared" si="0"/>
        <v>4.1538461538461542</v>
      </c>
      <c r="O16" s="7">
        <f t="shared" si="0"/>
        <v>3.9230769230769229</v>
      </c>
      <c r="P16" s="7">
        <f t="shared" si="0"/>
        <v>3.8461538461538463</v>
      </c>
      <c r="Q16" s="7">
        <f t="shared" si="0"/>
        <v>3.7692307692307692</v>
      </c>
      <c r="R16" s="7">
        <f t="shared" si="0"/>
        <v>3.8461538461538463</v>
      </c>
    </row>
    <row r="17" spans="1:18" x14ac:dyDescent="0.35">
      <c r="A17" s="2" t="s">
        <v>47</v>
      </c>
      <c r="B17" s="7">
        <f>(B16+H16+N16)/3</f>
        <v>3.6923076923076921</v>
      </c>
      <c r="C17" s="7">
        <f t="shared" ref="C17:F17" si="1">(C16+I16+O16)/3</f>
        <v>3.7435897435897432</v>
      </c>
      <c r="D17" s="7">
        <f t="shared" si="1"/>
        <v>3.6923076923076921</v>
      </c>
      <c r="E17" s="7">
        <f t="shared" si="1"/>
        <v>3.5897435897435899</v>
      </c>
      <c r="F17" s="7">
        <f t="shared" si="1"/>
        <v>3.5128205128205128</v>
      </c>
      <c r="G17" s="2"/>
      <c r="H17" s="2"/>
      <c r="I17" s="2"/>
      <c r="J17" s="2"/>
      <c r="K17" s="2"/>
      <c r="L17" s="2"/>
      <c r="M17" s="2"/>
      <c r="N17" s="2"/>
      <c r="O17" s="2"/>
      <c r="P17" s="2"/>
      <c r="Q17" s="2"/>
      <c r="R17" s="2"/>
    </row>
    <row r="20" spans="1:18" x14ac:dyDescent="0.35">
      <c r="A20" s="3" t="s">
        <v>48</v>
      </c>
      <c r="B20" s="21" t="s">
        <v>23</v>
      </c>
      <c r="C20" s="21"/>
      <c r="D20" s="21"/>
      <c r="E20" s="21"/>
      <c r="F20" s="21"/>
      <c r="G20" s="2"/>
      <c r="H20" s="21" t="s">
        <v>24</v>
      </c>
      <c r="I20" s="21"/>
      <c r="J20" s="21"/>
      <c r="K20" s="21"/>
      <c r="L20" s="21"/>
      <c r="M20" s="2"/>
      <c r="N20" s="21" t="s">
        <v>25</v>
      </c>
      <c r="O20" s="21"/>
      <c r="P20" s="21"/>
      <c r="Q20" s="21"/>
      <c r="R20" s="21"/>
    </row>
    <row r="21" spans="1:18" x14ac:dyDescent="0.35">
      <c r="A21" s="2"/>
      <c r="B21" s="3" t="s">
        <v>26</v>
      </c>
      <c r="C21" s="3" t="s">
        <v>27</v>
      </c>
      <c r="D21" s="3" t="s">
        <v>28</v>
      </c>
      <c r="E21" s="3" t="s">
        <v>29</v>
      </c>
      <c r="F21" s="3" t="s">
        <v>30</v>
      </c>
      <c r="G21" s="2"/>
      <c r="H21" s="3" t="s">
        <v>26</v>
      </c>
      <c r="I21" s="3" t="s">
        <v>27</v>
      </c>
      <c r="J21" s="3" t="s">
        <v>28</v>
      </c>
      <c r="K21" s="3" t="s">
        <v>29</v>
      </c>
      <c r="L21" s="3" t="s">
        <v>30</v>
      </c>
      <c r="M21" s="2"/>
      <c r="N21" s="3" t="s">
        <v>26</v>
      </c>
      <c r="O21" s="3" t="s">
        <v>27</v>
      </c>
      <c r="P21" s="3" t="s">
        <v>28</v>
      </c>
      <c r="Q21" s="3" t="s">
        <v>29</v>
      </c>
      <c r="R21" s="3" t="s">
        <v>30</v>
      </c>
    </row>
    <row r="22" spans="1:18" x14ac:dyDescent="0.35">
      <c r="A22" s="2" t="s">
        <v>31</v>
      </c>
      <c r="B22">
        <v>2</v>
      </c>
      <c r="C22">
        <v>4</v>
      </c>
      <c r="D22">
        <v>2</v>
      </c>
      <c r="E22">
        <v>1</v>
      </c>
      <c r="F22">
        <v>2</v>
      </c>
      <c r="G22" s="2"/>
      <c r="H22">
        <v>2</v>
      </c>
      <c r="I22">
        <v>2</v>
      </c>
      <c r="J22">
        <v>2</v>
      </c>
      <c r="K22">
        <v>2</v>
      </c>
      <c r="L22">
        <v>4</v>
      </c>
      <c r="M22" s="2"/>
      <c r="N22">
        <v>4</v>
      </c>
      <c r="O22">
        <v>3</v>
      </c>
      <c r="P22">
        <v>1</v>
      </c>
      <c r="Q22">
        <v>1</v>
      </c>
      <c r="R22">
        <v>4</v>
      </c>
    </row>
    <row r="23" spans="1:18" x14ac:dyDescent="0.35">
      <c r="A23" s="2" t="s">
        <v>32</v>
      </c>
      <c r="B23">
        <v>2</v>
      </c>
      <c r="C23">
        <v>2</v>
      </c>
      <c r="D23">
        <v>1</v>
      </c>
      <c r="E23">
        <v>1</v>
      </c>
      <c r="F23">
        <v>2</v>
      </c>
      <c r="G23" s="2"/>
      <c r="H23">
        <v>3</v>
      </c>
      <c r="I23">
        <v>3</v>
      </c>
      <c r="J23">
        <v>2</v>
      </c>
      <c r="K23">
        <v>2</v>
      </c>
      <c r="L23">
        <v>4</v>
      </c>
      <c r="M23" s="2"/>
      <c r="N23">
        <v>5</v>
      </c>
      <c r="O23">
        <v>4</v>
      </c>
      <c r="P23">
        <v>2</v>
      </c>
      <c r="Q23">
        <v>1</v>
      </c>
      <c r="R23">
        <v>3</v>
      </c>
    </row>
    <row r="24" spans="1:18" x14ac:dyDescent="0.35">
      <c r="A24" s="2" t="s">
        <v>33</v>
      </c>
      <c r="B24">
        <v>3</v>
      </c>
      <c r="C24">
        <v>3</v>
      </c>
      <c r="D24">
        <v>3</v>
      </c>
      <c r="E24">
        <v>1</v>
      </c>
      <c r="F24">
        <v>3</v>
      </c>
      <c r="G24" s="2"/>
      <c r="H24">
        <v>4</v>
      </c>
      <c r="I24">
        <v>4</v>
      </c>
      <c r="J24">
        <v>3</v>
      </c>
      <c r="K24">
        <v>3</v>
      </c>
      <c r="L24">
        <v>4</v>
      </c>
      <c r="M24" s="2"/>
      <c r="N24">
        <v>5</v>
      </c>
      <c r="O24">
        <v>5</v>
      </c>
      <c r="P24">
        <v>3</v>
      </c>
      <c r="Q24">
        <v>3</v>
      </c>
      <c r="R24">
        <v>5</v>
      </c>
    </row>
    <row r="25" spans="1:18" x14ac:dyDescent="0.35">
      <c r="A25" s="2" t="s">
        <v>34</v>
      </c>
      <c r="B25">
        <v>4</v>
      </c>
      <c r="C25">
        <v>5</v>
      </c>
      <c r="D25">
        <v>4</v>
      </c>
      <c r="E25">
        <v>3</v>
      </c>
      <c r="F25">
        <v>4</v>
      </c>
      <c r="G25" s="2"/>
      <c r="H25">
        <v>4</v>
      </c>
      <c r="I25">
        <v>4</v>
      </c>
      <c r="J25">
        <v>3</v>
      </c>
      <c r="K25">
        <v>2</v>
      </c>
      <c r="L25">
        <v>4</v>
      </c>
      <c r="M25" s="2"/>
      <c r="N25">
        <v>5</v>
      </c>
      <c r="O25">
        <v>5</v>
      </c>
      <c r="P25">
        <v>4</v>
      </c>
      <c r="Q25">
        <v>5</v>
      </c>
      <c r="R25">
        <v>5</v>
      </c>
    </row>
    <row r="26" spans="1:18" x14ac:dyDescent="0.35">
      <c r="A26" s="2" t="s">
        <v>35</v>
      </c>
      <c r="B26">
        <v>4</v>
      </c>
      <c r="C26">
        <v>5</v>
      </c>
      <c r="D26">
        <v>4</v>
      </c>
      <c r="E26">
        <v>3</v>
      </c>
      <c r="F26">
        <v>3</v>
      </c>
      <c r="G26" s="2"/>
      <c r="H26">
        <v>3</v>
      </c>
      <c r="I26">
        <v>4</v>
      </c>
      <c r="J26">
        <v>3</v>
      </c>
      <c r="K26">
        <v>3</v>
      </c>
      <c r="L26">
        <v>4</v>
      </c>
      <c r="M26" s="2"/>
      <c r="N26">
        <v>5</v>
      </c>
      <c r="O26">
        <v>5</v>
      </c>
      <c r="P26">
        <v>3</v>
      </c>
      <c r="Q26">
        <v>4</v>
      </c>
      <c r="R26">
        <v>3</v>
      </c>
    </row>
    <row r="27" spans="1:18" x14ac:dyDescent="0.35">
      <c r="A27" s="2" t="s">
        <v>36</v>
      </c>
      <c r="B27">
        <v>1</v>
      </c>
      <c r="C27">
        <v>4</v>
      </c>
      <c r="D27">
        <v>3</v>
      </c>
      <c r="E27">
        <v>2</v>
      </c>
      <c r="F27">
        <v>4</v>
      </c>
      <c r="G27" s="2"/>
      <c r="H27">
        <v>4</v>
      </c>
      <c r="I27">
        <v>4</v>
      </c>
      <c r="J27">
        <v>4</v>
      </c>
      <c r="K27">
        <v>3</v>
      </c>
      <c r="L27">
        <v>4</v>
      </c>
      <c r="M27" s="2"/>
      <c r="N27">
        <v>5</v>
      </c>
      <c r="O27">
        <v>5</v>
      </c>
      <c r="P27">
        <v>4</v>
      </c>
      <c r="Q27">
        <v>4</v>
      </c>
      <c r="R27">
        <v>5</v>
      </c>
    </row>
    <row r="28" spans="1:18" x14ac:dyDescent="0.35">
      <c r="A28" s="2" t="s">
        <v>37</v>
      </c>
      <c r="B28">
        <v>2</v>
      </c>
      <c r="C28">
        <v>4</v>
      </c>
      <c r="D28">
        <v>2</v>
      </c>
      <c r="E28">
        <v>2</v>
      </c>
      <c r="F28">
        <v>3</v>
      </c>
      <c r="G28" s="2"/>
      <c r="H28">
        <v>4</v>
      </c>
      <c r="I28">
        <v>4</v>
      </c>
      <c r="J28">
        <v>4</v>
      </c>
      <c r="K28">
        <v>4</v>
      </c>
      <c r="L28">
        <v>4</v>
      </c>
      <c r="M28" s="2"/>
      <c r="N28">
        <v>4</v>
      </c>
      <c r="O28">
        <v>5</v>
      </c>
      <c r="P28">
        <v>3</v>
      </c>
      <c r="Q28">
        <v>3</v>
      </c>
      <c r="R28">
        <v>5</v>
      </c>
    </row>
    <row r="29" spans="1:18" x14ac:dyDescent="0.35">
      <c r="A29" s="2" t="s">
        <v>38</v>
      </c>
      <c r="B29">
        <v>4</v>
      </c>
      <c r="C29">
        <v>4</v>
      </c>
      <c r="D29">
        <v>4</v>
      </c>
      <c r="E29">
        <v>1</v>
      </c>
      <c r="F29">
        <v>4</v>
      </c>
      <c r="G29" s="2"/>
      <c r="H29">
        <v>4</v>
      </c>
      <c r="I29">
        <v>4</v>
      </c>
      <c r="J29">
        <v>4</v>
      </c>
      <c r="K29">
        <v>3</v>
      </c>
      <c r="L29">
        <v>4</v>
      </c>
      <c r="M29" s="2"/>
      <c r="N29">
        <v>5</v>
      </c>
      <c r="O29">
        <v>4</v>
      </c>
      <c r="P29">
        <v>3</v>
      </c>
      <c r="Q29">
        <v>3</v>
      </c>
      <c r="R29">
        <v>3</v>
      </c>
    </row>
    <row r="30" spans="1:18" x14ac:dyDescent="0.35">
      <c r="A30" s="2" t="s">
        <v>39</v>
      </c>
      <c r="B30">
        <v>1</v>
      </c>
      <c r="C30">
        <v>1</v>
      </c>
      <c r="D30">
        <v>1</v>
      </c>
      <c r="E30">
        <v>1</v>
      </c>
      <c r="F30">
        <v>1</v>
      </c>
      <c r="G30" s="2"/>
      <c r="H30">
        <v>2</v>
      </c>
      <c r="I30">
        <v>2</v>
      </c>
      <c r="J30">
        <v>1</v>
      </c>
      <c r="K30">
        <v>1</v>
      </c>
      <c r="L30">
        <v>1</v>
      </c>
      <c r="M30" s="2"/>
      <c r="N30">
        <v>1</v>
      </c>
      <c r="O30">
        <v>1</v>
      </c>
      <c r="P30">
        <v>1</v>
      </c>
      <c r="Q30">
        <v>1</v>
      </c>
      <c r="R30">
        <v>1</v>
      </c>
    </row>
    <row r="31" spans="1:18" x14ac:dyDescent="0.35">
      <c r="A31" s="2" t="s">
        <v>40</v>
      </c>
      <c r="B31">
        <v>3</v>
      </c>
      <c r="C31">
        <v>3</v>
      </c>
      <c r="D31">
        <v>4</v>
      </c>
      <c r="E31">
        <v>1</v>
      </c>
      <c r="F31">
        <v>4</v>
      </c>
      <c r="G31" s="2"/>
      <c r="H31">
        <v>4</v>
      </c>
      <c r="I31">
        <v>4</v>
      </c>
      <c r="J31">
        <v>4</v>
      </c>
      <c r="K31">
        <v>3</v>
      </c>
      <c r="L31">
        <v>4</v>
      </c>
      <c r="M31" s="2"/>
      <c r="N31">
        <v>4</v>
      </c>
      <c r="O31">
        <v>4</v>
      </c>
      <c r="P31">
        <v>3</v>
      </c>
      <c r="Q31">
        <v>3</v>
      </c>
      <c r="R31">
        <v>4</v>
      </c>
    </row>
    <row r="32" spans="1:18" x14ac:dyDescent="0.35">
      <c r="A32" s="2" t="s">
        <v>41</v>
      </c>
      <c r="B32">
        <v>3</v>
      </c>
      <c r="C32">
        <v>4</v>
      </c>
      <c r="D32">
        <v>2</v>
      </c>
      <c r="E32">
        <v>2</v>
      </c>
      <c r="F32">
        <v>4</v>
      </c>
      <c r="G32" s="2"/>
      <c r="H32">
        <v>4</v>
      </c>
      <c r="I32">
        <v>4</v>
      </c>
      <c r="J32">
        <v>4</v>
      </c>
      <c r="K32">
        <v>3</v>
      </c>
      <c r="L32">
        <v>4</v>
      </c>
      <c r="M32" s="2"/>
      <c r="N32">
        <v>5</v>
      </c>
      <c r="O32">
        <v>5</v>
      </c>
      <c r="P32">
        <v>3</v>
      </c>
      <c r="Q32">
        <v>3</v>
      </c>
      <c r="R32">
        <v>4</v>
      </c>
    </row>
    <row r="33" spans="1:18" x14ac:dyDescent="0.35">
      <c r="A33" s="2" t="s">
        <v>42</v>
      </c>
      <c r="B33">
        <v>1</v>
      </c>
      <c r="C33">
        <v>3</v>
      </c>
      <c r="D33">
        <v>2</v>
      </c>
      <c r="E33">
        <v>2</v>
      </c>
      <c r="F33">
        <v>3</v>
      </c>
      <c r="G33" s="2"/>
      <c r="H33">
        <v>4</v>
      </c>
      <c r="I33">
        <v>4</v>
      </c>
      <c r="J33">
        <v>4</v>
      </c>
      <c r="K33">
        <v>4</v>
      </c>
      <c r="L33">
        <v>4</v>
      </c>
      <c r="M33" s="2"/>
      <c r="N33">
        <v>4</v>
      </c>
      <c r="O33">
        <v>4</v>
      </c>
      <c r="P33">
        <v>3</v>
      </c>
      <c r="Q33">
        <v>4</v>
      </c>
      <c r="R33">
        <v>5</v>
      </c>
    </row>
    <row r="34" spans="1:18" x14ac:dyDescent="0.35">
      <c r="A34" s="2" t="s">
        <v>43</v>
      </c>
      <c r="B34">
        <v>2</v>
      </c>
      <c r="C34">
        <v>3</v>
      </c>
      <c r="D34">
        <v>2</v>
      </c>
      <c r="E34">
        <v>1</v>
      </c>
      <c r="F34">
        <v>3</v>
      </c>
      <c r="G34" s="2"/>
      <c r="H34">
        <v>4</v>
      </c>
      <c r="I34">
        <v>4</v>
      </c>
      <c r="J34">
        <v>3</v>
      </c>
      <c r="K34">
        <v>3</v>
      </c>
      <c r="L34">
        <v>4</v>
      </c>
      <c r="M34" s="2"/>
      <c r="N34">
        <v>4</v>
      </c>
      <c r="O34">
        <v>4</v>
      </c>
      <c r="P34">
        <v>3</v>
      </c>
      <c r="Q34">
        <v>3</v>
      </c>
      <c r="R34">
        <v>5</v>
      </c>
    </row>
    <row r="35" spans="1:18" x14ac:dyDescent="0.35">
      <c r="A35" s="2" t="s">
        <v>46</v>
      </c>
      <c r="B35" s="7">
        <f>SUM(B22:B34)/13</f>
        <v>2.4615384615384617</v>
      </c>
      <c r="C35" s="7">
        <f t="shared" ref="C35:R35" si="2">SUM(C22:C34)/13</f>
        <v>3.4615384615384617</v>
      </c>
      <c r="D35" s="7">
        <f t="shared" si="2"/>
        <v>2.6153846153846154</v>
      </c>
      <c r="E35" s="7">
        <f t="shared" si="2"/>
        <v>1.6153846153846154</v>
      </c>
      <c r="F35" s="7">
        <f t="shared" si="2"/>
        <v>3.0769230769230771</v>
      </c>
      <c r="G35" s="7"/>
      <c r="H35" s="7">
        <f t="shared" si="2"/>
        <v>3.5384615384615383</v>
      </c>
      <c r="I35" s="7">
        <f t="shared" si="2"/>
        <v>3.6153846153846154</v>
      </c>
      <c r="J35" s="7">
        <f t="shared" si="2"/>
        <v>3.1538461538461537</v>
      </c>
      <c r="K35" s="7">
        <f t="shared" si="2"/>
        <v>2.7692307692307692</v>
      </c>
      <c r="L35" s="7">
        <f t="shared" si="2"/>
        <v>3.7692307692307692</v>
      </c>
      <c r="M35" s="7"/>
      <c r="N35" s="7">
        <f t="shared" si="2"/>
        <v>4.3076923076923075</v>
      </c>
      <c r="O35" s="7">
        <f t="shared" si="2"/>
        <v>4.1538461538461542</v>
      </c>
      <c r="P35" s="7">
        <f t="shared" si="2"/>
        <v>2.7692307692307692</v>
      </c>
      <c r="Q35" s="7">
        <f t="shared" si="2"/>
        <v>2.9230769230769229</v>
      </c>
      <c r="R35" s="7">
        <f t="shared" si="2"/>
        <v>4</v>
      </c>
    </row>
    <row r="36" spans="1:18" x14ac:dyDescent="0.35">
      <c r="A36" s="2" t="s">
        <v>47</v>
      </c>
      <c r="B36" s="7">
        <f>(B35+H35+N35)/3</f>
        <v>3.4358974358974357</v>
      </c>
      <c r="C36" s="7">
        <f t="shared" ref="C36" si="3">(C35+I35+O35)/3</f>
        <v>3.7435897435897432</v>
      </c>
      <c r="D36" s="7">
        <f t="shared" ref="D36" si="4">(D35+J35+P35)/3</f>
        <v>2.8461538461538463</v>
      </c>
      <c r="E36" s="7">
        <f t="shared" ref="E36" si="5">(E35+K35+Q35)/3</f>
        <v>2.4358974358974361</v>
      </c>
      <c r="F36" s="7">
        <f t="shared" ref="F36" si="6">(F35+L35+R35)/3</f>
        <v>3.6153846153846154</v>
      </c>
      <c r="G36" s="2"/>
      <c r="H36" s="2"/>
      <c r="I36" s="2"/>
      <c r="J36" s="2"/>
      <c r="K36" s="2"/>
      <c r="L36" s="2"/>
      <c r="M36" s="2"/>
      <c r="N36" s="2"/>
      <c r="O36" s="2"/>
      <c r="P36" s="2"/>
      <c r="Q36" s="2"/>
      <c r="R36" s="2"/>
    </row>
  </sheetData>
  <mergeCells count="6">
    <mergeCell ref="B1:F1"/>
    <mergeCell ref="H1:L1"/>
    <mergeCell ref="N1:R1"/>
    <mergeCell ref="B20:F20"/>
    <mergeCell ref="H20:L20"/>
    <mergeCell ref="N20:R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C23FA-D242-4A2F-9CF8-9D7AABF4CF63}">
  <dimension ref="A1:R54"/>
  <sheetViews>
    <sheetView tabSelected="1" topLeftCell="A13" zoomScale="85" zoomScaleNormal="85" workbookViewId="0">
      <selection activeCell="S20" sqref="S20"/>
    </sheetView>
  </sheetViews>
  <sheetFormatPr defaultRowHeight="14.5" x14ac:dyDescent="0.35"/>
  <sheetData>
    <row r="1" spans="1:18" x14ac:dyDescent="0.35">
      <c r="A1" s="3" t="s">
        <v>22</v>
      </c>
      <c r="B1" s="20" t="s">
        <v>23</v>
      </c>
      <c r="C1" s="20"/>
      <c r="D1" s="20"/>
      <c r="E1" s="20"/>
      <c r="F1" s="20"/>
      <c r="G1" s="2"/>
      <c r="H1" s="21" t="s">
        <v>24</v>
      </c>
      <c r="I1" s="21"/>
      <c r="J1" s="21"/>
      <c r="K1" s="21"/>
      <c r="L1" s="21"/>
      <c r="M1" s="2"/>
      <c r="N1" s="20" t="s">
        <v>25</v>
      </c>
      <c r="O1" s="20"/>
      <c r="P1" s="20"/>
      <c r="Q1" s="20"/>
      <c r="R1" s="20"/>
    </row>
    <row r="2" spans="1:18" x14ac:dyDescent="0.35">
      <c r="A2" s="2"/>
      <c r="B2" s="12" t="s">
        <v>26</v>
      </c>
      <c r="C2" s="12" t="s">
        <v>27</v>
      </c>
      <c r="D2" s="12" t="s">
        <v>28</v>
      </c>
      <c r="E2" s="12" t="s">
        <v>29</v>
      </c>
      <c r="F2" s="12" t="s">
        <v>30</v>
      </c>
      <c r="G2" s="2"/>
      <c r="H2" s="3" t="s">
        <v>26</v>
      </c>
      <c r="I2" s="3" t="s">
        <v>27</v>
      </c>
      <c r="J2" s="3" t="s">
        <v>28</v>
      </c>
      <c r="K2" s="3" t="s">
        <v>29</v>
      </c>
      <c r="L2" s="3" t="s">
        <v>30</v>
      </c>
      <c r="M2" s="2"/>
      <c r="N2" s="12" t="s">
        <v>26</v>
      </c>
      <c r="O2" s="12" t="s">
        <v>27</v>
      </c>
      <c r="P2" s="12" t="s">
        <v>28</v>
      </c>
      <c r="Q2" s="12" t="s">
        <v>29</v>
      </c>
      <c r="R2" s="12" t="s">
        <v>30</v>
      </c>
    </row>
    <row r="3" spans="1:18" x14ac:dyDescent="0.35">
      <c r="A3" s="2" t="s">
        <v>31</v>
      </c>
      <c r="B3" s="13">
        <v>3</v>
      </c>
      <c r="C3" s="13">
        <v>2</v>
      </c>
      <c r="D3" s="13">
        <v>5</v>
      </c>
      <c r="E3" s="13">
        <v>2</v>
      </c>
      <c r="F3" s="13">
        <v>4</v>
      </c>
      <c r="G3" s="2"/>
      <c r="H3">
        <v>5</v>
      </c>
      <c r="I3">
        <v>4</v>
      </c>
      <c r="J3">
        <v>4</v>
      </c>
      <c r="K3">
        <v>4</v>
      </c>
      <c r="L3">
        <v>4</v>
      </c>
      <c r="M3" s="2"/>
      <c r="N3" s="13">
        <v>5</v>
      </c>
      <c r="O3" s="13">
        <v>5</v>
      </c>
      <c r="P3" s="13">
        <v>4</v>
      </c>
      <c r="Q3" s="13">
        <v>5</v>
      </c>
      <c r="R3" s="13">
        <v>4</v>
      </c>
    </row>
    <row r="4" spans="1:18" x14ac:dyDescent="0.35">
      <c r="A4" s="2" t="s">
        <v>32</v>
      </c>
      <c r="B4" s="13">
        <v>4</v>
      </c>
      <c r="C4" s="13">
        <v>2</v>
      </c>
      <c r="D4" s="13">
        <v>4</v>
      </c>
      <c r="E4" s="13">
        <v>2</v>
      </c>
      <c r="F4" s="13">
        <v>3</v>
      </c>
      <c r="G4" s="2"/>
      <c r="H4">
        <v>4</v>
      </c>
      <c r="I4">
        <v>4</v>
      </c>
      <c r="J4">
        <v>4</v>
      </c>
      <c r="K4">
        <v>3</v>
      </c>
      <c r="L4">
        <v>4</v>
      </c>
      <c r="M4" s="2"/>
      <c r="N4" s="13">
        <v>5</v>
      </c>
      <c r="O4" s="13">
        <v>5</v>
      </c>
      <c r="P4" s="13">
        <v>5</v>
      </c>
      <c r="Q4" s="13">
        <v>5</v>
      </c>
      <c r="R4" s="13">
        <v>4</v>
      </c>
    </row>
    <row r="5" spans="1:18" x14ac:dyDescent="0.35">
      <c r="A5" s="2" t="s">
        <v>33</v>
      </c>
      <c r="B5" s="13">
        <v>5</v>
      </c>
      <c r="C5" s="13">
        <v>5</v>
      </c>
      <c r="D5" s="13">
        <v>5</v>
      </c>
      <c r="E5" s="13">
        <v>4</v>
      </c>
      <c r="F5" s="13">
        <v>4</v>
      </c>
      <c r="G5" s="2"/>
      <c r="H5">
        <v>4</v>
      </c>
      <c r="I5">
        <v>4</v>
      </c>
      <c r="J5">
        <v>4</v>
      </c>
      <c r="K5">
        <v>5</v>
      </c>
      <c r="L5">
        <v>4</v>
      </c>
      <c r="M5" s="2"/>
      <c r="N5" s="13">
        <v>5</v>
      </c>
      <c r="O5" s="13">
        <v>5</v>
      </c>
      <c r="P5" s="13">
        <v>5</v>
      </c>
      <c r="Q5" s="13">
        <v>5</v>
      </c>
      <c r="R5" s="13">
        <v>4</v>
      </c>
    </row>
    <row r="6" spans="1:18" x14ac:dyDescent="0.35">
      <c r="A6" s="2" t="s">
        <v>34</v>
      </c>
      <c r="B6" s="13">
        <v>4</v>
      </c>
      <c r="C6" s="13">
        <v>5</v>
      </c>
      <c r="D6" s="13">
        <v>4</v>
      </c>
      <c r="E6" s="13">
        <v>4</v>
      </c>
      <c r="F6" s="13">
        <v>5</v>
      </c>
      <c r="G6" s="2"/>
      <c r="H6">
        <v>4</v>
      </c>
      <c r="I6">
        <v>5</v>
      </c>
      <c r="J6">
        <v>5</v>
      </c>
      <c r="K6">
        <v>4</v>
      </c>
      <c r="L6">
        <v>4</v>
      </c>
      <c r="M6" s="2"/>
      <c r="N6" s="13">
        <v>5</v>
      </c>
      <c r="O6" s="13">
        <v>5</v>
      </c>
      <c r="P6" s="13">
        <v>4</v>
      </c>
      <c r="Q6" s="13">
        <v>5</v>
      </c>
      <c r="R6" s="13">
        <v>5</v>
      </c>
    </row>
    <row r="7" spans="1:18" x14ac:dyDescent="0.35">
      <c r="A7" s="2" t="s">
        <v>35</v>
      </c>
      <c r="B7" s="13">
        <v>5</v>
      </c>
      <c r="C7" s="13">
        <v>4</v>
      </c>
      <c r="D7" s="13">
        <v>5</v>
      </c>
      <c r="E7" s="13">
        <v>4</v>
      </c>
      <c r="F7" s="13">
        <v>4</v>
      </c>
      <c r="G7" s="2"/>
      <c r="H7">
        <v>4</v>
      </c>
      <c r="I7">
        <v>4</v>
      </c>
      <c r="J7">
        <v>4</v>
      </c>
      <c r="K7">
        <v>4</v>
      </c>
      <c r="L7">
        <v>4</v>
      </c>
      <c r="M7" s="2"/>
      <c r="N7" s="13">
        <v>5</v>
      </c>
      <c r="O7" s="13">
        <v>5</v>
      </c>
      <c r="P7" s="13">
        <v>4</v>
      </c>
      <c r="Q7" s="13">
        <v>5</v>
      </c>
      <c r="R7" s="13">
        <v>5</v>
      </c>
    </row>
    <row r="8" spans="1:18" x14ac:dyDescent="0.35">
      <c r="A8" s="2" t="s">
        <v>36</v>
      </c>
      <c r="B8" s="13">
        <v>5</v>
      </c>
      <c r="C8" s="13">
        <v>4</v>
      </c>
      <c r="D8" s="13">
        <v>5</v>
      </c>
      <c r="E8" s="13">
        <v>5</v>
      </c>
      <c r="F8" s="13">
        <v>5</v>
      </c>
      <c r="G8" s="2"/>
      <c r="H8">
        <v>4</v>
      </c>
      <c r="I8">
        <v>4</v>
      </c>
      <c r="J8">
        <v>4</v>
      </c>
      <c r="K8">
        <v>4</v>
      </c>
      <c r="L8">
        <v>4</v>
      </c>
      <c r="M8" s="2"/>
      <c r="N8" s="13">
        <v>5</v>
      </c>
      <c r="O8" s="13">
        <v>5</v>
      </c>
      <c r="P8" s="13">
        <v>5</v>
      </c>
      <c r="Q8" s="13">
        <v>5</v>
      </c>
      <c r="R8" s="13">
        <v>4</v>
      </c>
    </row>
    <row r="9" spans="1:18" x14ac:dyDescent="0.35">
      <c r="A9" s="2" t="s">
        <v>37</v>
      </c>
      <c r="B9" s="13">
        <v>4</v>
      </c>
      <c r="C9" s="13">
        <v>4</v>
      </c>
      <c r="D9" s="13">
        <v>5</v>
      </c>
      <c r="E9" s="13">
        <v>3</v>
      </c>
      <c r="F9" s="13">
        <v>5</v>
      </c>
      <c r="G9" s="2"/>
      <c r="H9">
        <v>4</v>
      </c>
      <c r="I9">
        <v>4</v>
      </c>
      <c r="J9">
        <v>4</v>
      </c>
      <c r="K9">
        <v>4</v>
      </c>
      <c r="L9">
        <v>4</v>
      </c>
      <c r="M9" s="2"/>
      <c r="N9" s="13">
        <v>5</v>
      </c>
      <c r="O9" s="13">
        <v>5</v>
      </c>
      <c r="P9" s="13">
        <v>5</v>
      </c>
      <c r="Q9" s="13">
        <v>5</v>
      </c>
      <c r="R9" s="13">
        <v>4</v>
      </c>
    </row>
    <row r="10" spans="1:18" x14ac:dyDescent="0.35">
      <c r="A10" s="2" t="s">
        <v>38</v>
      </c>
      <c r="B10" s="13">
        <v>5</v>
      </c>
      <c r="C10" s="13">
        <v>5</v>
      </c>
      <c r="D10" s="13">
        <v>5</v>
      </c>
      <c r="E10" s="13">
        <v>4</v>
      </c>
      <c r="F10" s="13">
        <v>5</v>
      </c>
      <c r="G10" s="2"/>
      <c r="H10">
        <v>4</v>
      </c>
      <c r="I10">
        <v>4</v>
      </c>
      <c r="J10">
        <v>4</v>
      </c>
      <c r="K10">
        <v>4</v>
      </c>
      <c r="L10">
        <v>4</v>
      </c>
      <c r="M10" s="2"/>
      <c r="N10" s="13">
        <v>5</v>
      </c>
      <c r="O10" s="13">
        <v>5</v>
      </c>
      <c r="P10" s="13">
        <v>5</v>
      </c>
      <c r="Q10" s="13">
        <v>5</v>
      </c>
      <c r="R10" s="13">
        <v>4</v>
      </c>
    </row>
    <row r="11" spans="1:18" x14ac:dyDescent="0.35">
      <c r="A11" s="2" t="s">
        <v>39</v>
      </c>
      <c r="B11" s="13">
        <v>4</v>
      </c>
      <c r="C11" s="13">
        <v>5</v>
      </c>
      <c r="D11" s="13">
        <v>5</v>
      </c>
      <c r="E11" s="13">
        <v>5</v>
      </c>
      <c r="F11" s="13">
        <v>5</v>
      </c>
      <c r="G11" s="2"/>
      <c r="H11">
        <v>4</v>
      </c>
      <c r="I11">
        <v>4</v>
      </c>
      <c r="J11">
        <v>4</v>
      </c>
      <c r="K11">
        <v>4</v>
      </c>
      <c r="L11">
        <v>4</v>
      </c>
      <c r="M11" s="2"/>
      <c r="N11" s="13">
        <v>5</v>
      </c>
      <c r="O11" s="13">
        <v>5</v>
      </c>
      <c r="P11" s="13">
        <v>4</v>
      </c>
      <c r="Q11" s="13">
        <v>5</v>
      </c>
      <c r="R11" s="13">
        <v>5</v>
      </c>
    </row>
    <row r="12" spans="1:18" x14ac:dyDescent="0.35">
      <c r="A12" s="2" t="s">
        <v>40</v>
      </c>
      <c r="B12" s="13">
        <v>5</v>
      </c>
      <c r="C12" s="13">
        <v>5</v>
      </c>
      <c r="D12" s="13">
        <v>3</v>
      </c>
      <c r="E12" s="13">
        <v>4</v>
      </c>
      <c r="F12" s="13">
        <v>4</v>
      </c>
      <c r="G12" s="2"/>
      <c r="H12">
        <v>4</v>
      </c>
      <c r="I12">
        <v>4</v>
      </c>
      <c r="J12">
        <v>4</v>
      </c>
      <c r="K12">
        <v>4</v>
      </c>
      <c r="L12">
        <v>4</v>
      </c>
      <c r="M12" s="2"/>
      <c r="N12" s="13">
        <v>5</v>
      </c>
      <c r="O12" s="13">
        <v>5</v>
      </c>
      <c r="P12" s="13">
        <v>5</v>
      </c>
      <c r="Q12" s="13">
        <v>5</v>
      </c>
      <c r="R12" s="13">
        <v>4</v>
      </c>
    </row>
    <row r="13" spans="1:18" x14ac:dyDescent="0.35">
      <c r="A13" s="2" t="s">
        <v>41</v>
      </c>
      <c r="B13" s="13">
        <v>5</v>
      </c>
      <c r="C13" s="13">
        <v>5</v>
      </c>
      <c r="D13" s="13">
        <v>5</v>
      </c>
      <c r="E13" s="13">
        <v>5</v>
      </c>
      <c r="F13" s="13">
        <v>5</v>
      </c>
      <c r="G13" s="2"/>
      <c r="H13">
        <v>4</v>
      </c>
      <c r="I13">
        <v>4</v>
      </c>
      <c r="J13">
        <v>4</v>
      </c>
      <c r="K13">
        <v>4</v>
      </c>
      <c r="L13">
        <v>4</v>
      </c>
      <c r="M13" s="2"/>
      <c r="N13" s="13">
        <v>5</v>
      </c>
      <c r="O13" s="13">
        <v>5</v>
      </c>
      <c r="P13" s="13">
        <v>5</v>
      </c>
      <c r="Q13" s="13">
        <v>5</v>
      </c>
      <c r="R13" s="13">
        <v>4</v>
      </c>
    </row>
    <row r="14" spans="1:18" x14ac:dyDescent="0.35">
      <c r="A14" s="2" t="s">
        <v>42</v>
      </c>
      <c r="B14" s="13">
        <v>5</v>
      </c>
      <c r="C14" s="13">
        <v>4</v>
      </c>
      <c r="D14" s="13">
        <v>5</v>
      </c>
      <c r="E14" s="13">
        <v>3</v>
      </c>
      <c r="F14" s="13">
        <v>4</v>
      </c>
      <c r="G14" s="2"/>
      <c r="H14">
        <v>3</v>
      </c>
      <c r="I14">
        <v>4</v>
      </c>
      <c r="J14">
        <v>4</v>
      </c>
      <c r="K14">
        <v>3</v>
      </c>
      <c r="L14">
        <v>4</v>
      </c>
      <c r="M14" s="2"/>
      <c r="N14" s="13">
        <v>5</v>
      </c>
      <c r="O14" s="13">
        <v>5</v>
      </c>
      <c r="P14" s="13">
        <v>5</v>
      </c>
      <c r="Q14" s="13">
        <v>5</v>
      </c>
      <c r="R14" s="13">
        <v>4</v>
      </c>
    </row>
    <row r="15" spans="1:18" x14ac:dyDescent="0.35">
      <c r="A15" s="2" t="s">
        <v>43</v>
      </c>
      <c r="B15" s="13">
        <v>4</v>
      </c>
      <c r="C15" s="13">
        <v>4</v>
      </c>
      <c r="D15" s="13">
        <v>4</v>
      </c>
      <c r="E15" s="13">
        <v>4</v>
      </c>
      <c r="F15" s="13">
        <v>5</v>
      </c>
      <c r="G15" s="2"/>
      <c r="H15">
        <v>3</v>
      </c>
      <c r="I15">
        <v>4</v>
      </c>
      <c r="J15">
        <v>3</v>
      </c>
      <c r="K15">
        <v>4</v>
      </c>
      <c r="L15">
        <v>4</v>
      </c>
      <c r="M15" s="2"/>
      <c r="N15" s="13">
        <v>5</v>
      </c>
      <c r="O15" s="13">
        <v>5</v>
      </c>
      <c r="P15" s="13">
        <v>5</v>
      </c>
      <c r="Q15" s="13">
        <v>5</v>
      </c>
      <c r="R15" s="13">
        <v>4</v>
      </c>
    </row>
    <row r="16" spans="1:18" x14ac:dyDescent="0.35">
      <c r="A16" s="2" t="s">
        <v>44</v>
      </c>
      <c r="B16" s="13">
        <v>4</v>
      </c>
      <c r="C16" s="13">
        <v>4</v>
      </c>
      <c r="D16" s="13">
        <v>4</v>
      </c>
      <c r="E16" s="13">
        <v>4</v>
      </c>
      <c r="F16" s="13">
        <v>5</v>
      </c>
      <c r="G16" s="2"/>
      <c r="H16">
        <v>3</v>
      </c>
      <c r="I16">
        <v>4</v>
      </c>
      <c r="J16">
        <v>4</v>
      </c>
      <c r="K16">
        <v>3</v>
      </c>
      <c r="L16">
        <v>3</v>
      </c>
      <c r="M16" s="2"/>
      <c r="N16" s="13">
        <v>5</v>
      </c>
      <c r="O16" s="13">
        <v>5</v>
      </c>
      <c r="P16" s="13">
        <v>4</v>
      </c>
      <c r="Q16" s="13">
        <v>4</v>
      </c>
      <c r="R16" s="13">
        <v>5</v>
      </c>
    </row>
    <row r="17" spans="1:18" x14ac:dyDescent="0.35">
      <c r="A17" s="2" t="s">
        <v>45</v>
      </c>
      <c r="B17" s="13">
        <v>5</v>
      </c>
      <c r="C17" s="13">
        <v>4</v>
      </c>
      <c r="D17" s="13">
        <v>4</v>
      </c>
      <c r="E17" s="13">
        <v>5</v>
      </c>
      <c r="F17" s="13">
        <v>5</v>
      </c>
      <c r="G17" s="2"/>
      <c r="H17">
        <v>3</v>
      </c>
      <c r="I17">
        <v>2</v>
      </c>
      <c r="J17">
        <v>2</v>
      </c>
      <c r="K17">
        <v>2</v>
      </c>
      <c r="L17">
        <v>2</v>
      </c>
      <c r="M17" s="2"/>
      <c r="N17" s="13">
        <v>5</v>
      </c>
      <c r="O17" s="13">
        <v>5</v>
      </c>
      <c r="P17" s="13">
        <v>5</v>
      </c>
      <c r="Q17" s="13">
        <v>5</v>
      </c>
      <c r="R17" s="13">
        <v>4</v>
      </c>
    </row>
    <row r="18" spans="1:18" x14ac:dyDescent="0.35">
      <c r="A18" s="2" t="s">
        <v>49</v>
      </c>
      <c r="B18" s="13">
        <v>4</v>
      </c>
      <c r="C18" s="13">
        <v>4</v>
      </c>
      <c r="D18" s="13">
        <v>3</v>
      </c>
      <c r="E18" s="13">
        <v>5</v>
      </c>
      <c r="F18" s="13">
        <v>4</v>
      </c>
      <c r="G18" s="2"/>
      <c r="H18">
        <v>3</v>
      </c>
      <c r="I18">
        <v>4</v>
      </c>
      <c r="J18">
        <v>4</v>
      </c>
      <c r="K18">
        <v>3</v>
      </c>
      <c r="L18">
        <v>3</v>
      </c>
      <c r="M18" s="2"/>
      <c r="N18" s="13">
        <v>5</v>
      </c>
      <c r="O18" s="13">
        <v>5</v>
      </c>
      <c r="P18" s="13">
        <v>5</v>
      </c>
      <c r="Q18" s="13">
        <v>5</v>
      </c>
      <c r="R18" s="13">
        <v>4</v>
      </c>
    </row>
    <row r="19" spans="1:18" x14ac:dyDescent="0.35">
      <c r="A19" s="2" t="s">
        <v>50</v>
      </c>
      <c r="B19" s="13">
        <v>5</v>
      </c>
      <c r="C19" s="13">
        <v>5</v>
      </c>
      <c r="D19" s="13">
        <v>5</v>
      </c>
      <c r="E19" s="13">
        <v>5</v>
      </c>
      <c r="F19" s="13">
        <v>5</v>
      </c>
      <c r="G19" s="2"/>
      <c r="H19">
        <v>3</v>
      </c>
      <c r="I19">
        <v>4</v>
      </c>
      <c r="J19">
        <v>3</v>
      </c>
      <c r="K19">
        <v>4</v>
      </c>
      <c r="L19">
        <v>3</v>
      </c>
      <c r="M19" s="2"/>
      <c r="N19" s="13">
        <v>5</v>
      </c>
      <c r="O19" s="13">
        <v>5</v>
      </c>
      <c r="P19" s="13">
        <v>5</v>
      </c>
      <c r="Q19" s="13">
        <v>5</v>
      </c>
      <c r="R19" s="13">
        <v>4</v>
      </c>
    </row>
    <row r="20" spans="1:18" x14ac:dyDescent="0.35">
      <c r="A20" s="2" t="s">
        <v>51</v>
      </c>
      <c r="B20" s="13">
        <v>5</v>
      </c>
      <c r="C20" s="13">
        <v>5</v>
      </c>
      <c r="D20" s="13">
        <v>5</v>
      </c>
      <c r="E20" s="13">
        <v>4</v>
      </c>
      <c r="F20" s="13">
        <v>4</v>
      </c>
      <c r="G20" s="2"/>
      <c r="H20">
        <v>3</v>
      </c>
      <c r="I20">
        <v>4</v>
      </c>
      <c r="J20">
        <v>4</v>
      </c>
      <c r="K20">
        <v>4</v>
      </c>
      <c r="L20">
        <v>4</v>
      </c>
      <c r="M20" s="2"/>
      <c r="N20" s="13">
        <v>5</v>
      </c>
      <c r="O20" s="13">
        <v>5</v>
      </c>
      <c r="P20" s="13">
        <v>5</v>
      </c>
      <c r="Q20" s="13">
        <v>5</v>
      </c>
      <c r="R20" s="13">
        <v>4</v>
      </c>
    </row>
    <row r="21" spans="1:18" x14ac:dyDescent="0.35">
      <c r="A21" s="2" t="s">
        <v>52</v>
      </c>
      <c r="B21" s="13">
        <v>5</v>
      </c>
      <c r="C21" s="13">
        <v>4</v>
      </c>
      <c r="D21" s="13">
        <v>5</v>
      </c>
      <c r="E21" s="13">
        <v>5</v>
      </c>
      <c r="F21" s="13">
        <v>5</v>
      </c>
      <c r="G21" s="2"/>
      <c r="H21">
        <v>3</v>
      </c>
      <c r="I21">
        <v>3</v>
      </c>
      <c r="J21">
        <v>3</v>
      </c>
      <c r="K21">
        <v>4</v>
      </c>
      <c r="L21">
        <v>4</v>
      </c>
      <c r="M21" s="2"/>
      <c r="N21" s="13">
        <v>5</v>
      </c>
      <c r="O21" s="13">
        <v>5</v>
      </c>
      <c r="P21" s="13">
        <v>5</v>
      </c>
      <c r="Q21" s="13">
        <v>5</v>
      </c>
      <c r="R21" s="13">
        <v>4</v>
      </c>
    </row>
    <row r="22" spans="1:18" x14ac:dyDescent="0.35">
      <c r="A22" s="2" t="s">
        <v>53</v>
      </c>
      <c r="B22" s="13">
        <v>5</v>
      </c>
      <c r="C22" s="13">
        <v>5</v>
      </c>
      <c r="D22" s="13">
        <v>3</v>
      </c>
      <c r="E22" s="13">
        <v>4</v>
      </c>
      <c r="F22" s="13">
        <v>5</v>
      </c>
      <c r="G22" s="2"/>
      <c r="H22">
        <v>4</v>
      </c>
      <c r="I22">
        <v>4</v>
      </c>
      <c r="J22">
        <v>4</v>
      </c>
      <c r="K22">
        <v>4</v>
      </c>
      <c r="L22">
        <v>4</v>
      </c>
      <c r="M22" s="2"/>
      <c r="N22" s="13">
        <v>5</v>
      </c>
      <c r="O22" s="13">
        <v>5</v>
      </c>
      <c r="P22" s="13">
        <v>5</v>
      </c>
      <c r="Q22" s="13">
        <v>5</v>
      </c>
      <c r="R22" s="13">
        <v>4</v>
      </c>
    </row>
    <row r="23" spans="1:18" x14ac:dyDescent="0.35">
      <c r="A23" s="2" t="s">
        <v>46</v>
      </c>
      <c r="B23" s="7">
        <f>SUM(B3:B22)/20</f>
        <v>4.55</v>
      </c>
      <c r="C23" s="7">
        <f>SUM(C3:C22)/20</f>
        <v>4.25</v>
      </c>
      <c r="D23" s="7">
        <f>SUM(D3:D22)/20</f>
        <v>4.45</v>
      </c>
      <c r="E23" s="7">
        <f>SUM(E3:E22)/20</f>
        <v>4.05</v>
      </c>
      <c r="F23" s="7">
        <f>SUM(F3:F22)/20</f>
        <v>4.55</v>
      </c>
      <c r="G23" s="7"/>
      <c r="H23" s="7">
        <f>SUM(H3:H22)/20</f>
        <v>3.65</v>
      </c>
      <c r="I23" s="7">
        <f t="shared" ref="I23:L23" si="0">SUM(I3:I22)/20</f>
        <v>3.9</v>
      </c>
      <c r="J23" s="7">
        <f t="shared" si="0"/>
        <v>3.8</v>
      </c>
      <c r="K23" s="7">
        <f t="shared" si="0"/>
        <v>3.75</v>
      </c>
      <c r="L23" s="7">
        <f t="shared" si="0"/>
        <v>3.75</v>
      </c>
      <c r="M23" s="7"/>
      <c r="N23" s="7">
        <f>SUM(N3:N22)/20</f>
        <v>5</v>
      </c>
      <c r="O23" s="7">
        <f t="shared" ref="O23:R23" si="1">SUM(O3:O22)/20</f>
        <v>5</v>
      </c>
      <c r="P23" s="7">
        <f t="shared" si="1"/>
        <v>4.75</v>
      </c>
      <c r="Q23" s="7">
        <f t="shared" si="1"/>
        <v>4.95</v>
      </c>
      <c r="R23" s="7">
        <f t="shared" si="1"/>
        <v>4.2</v>
      </c>
    </row>
    <row r="24" spans="1:18" x14ac:dyDescent="0.35">
      <c r="A24" s="2" t="s">
        <v>47</v>
      </c>
      <c r="B24" s="7">
        <f>(B23+H23+N23)/3</f>
        <v>4.3999999999999995</v>
      </c>
      <c r="C24" s="7">
        <f t="shared" ref="C24:F24" si="2">(C23+I23+O23)/3</f>
        <v>4.3833333333333337</v>
      </c>
      <c r="D24" s="7">
        <f t="shared" si="2"/>
        <v>4.333333333333333</v>
      </c>
      <c r="E24" s="7">
        <f t="shared" si="2"/>
        <v>4.25</v>
      </c>
      <c r="F24" s="7">
        <f t="shared" si="2"/>
        <v>4.166666666666667</v>
      </c>
      <c r="G24" s="2"/>
      <c r="H24" s="2"/>
      <c r="I24" s="2"/>
      <c r="J24" s="2"/>
      <c r="K24" s="2"/>
      <c r="L24" s="2"/>
      <c r="M24" s="2"/>
      <c r="N24" s="2"/>
      <c r="O24" s="2"/>
      <c r="P24" s="2"/>
      <c r="Q24" s="2"/>
      <c r="R24" s="2"/>
    </row>
    <row r="27" spans="1:18" x14ac:dyDescent="0.35">
      <c r="A27" s="3" t="s">
        <v>48</v>
      </c>
      <c r="B27" s="21" t="s">
        <v>23</v>
      </c>
      <c r="C27" s="21"/>
      <c r="D27" s="21"/>
      <c r="E27" s="21"/>
      <c r="F27" s="21"/>
      <c r="G27" s="2"/>
      <c r="H27" s="21" t="s">
        <v>24</v>
      </c>
      <c r="I27" s="21"/>
      <c r="J27" s="21"/>
      <c r="K27" s="21"/>
      <c r="L27" s="21"/>
      <c r="M27" s="2"/>
      <c r="N27" s="21" t="s">
        <v>25</v>
      </c>
      <c r="O27" s="21"/>
      <c r="P27" s="21"/>
      <c r="Q27" s="21"/>
      <c r="R27" s="21"/>
    </row>
    <row r="28" spans="1:18" x14ac:dyDescent="0.35">
      <c r="A28" s="2"/>
      <c r="B28" s="3" t="s">
        <v>26</v>
      </c>
      <c r="C28" s="3" t="s">
        <v>27</v>
      </c>
      <c r="D28" s="3" t="s">
        <v>28</v>
      </c>
      <c r="E28" s="3" t="s">
        <v>29</v>
      </c>
      <c r="F28" s="3" t="s">
        <v>30</v>
      </c>
      <c r="G28" s="2"/>
      <c r="H28" s="3" t="s">
        <v>26</v>
      </c>
      <c r="I28" s="3" t="s">
        <v>27</v>
      </c>
      <c r="J28" s="3" t="s">
        <v>28</v>
      </c>
      <c r="K28" s="3" t="s">
        <v>29</v>
      </c>
      <c r="L28" s="3" t="s">
        <v>30</v>
      </c>
      <c r="M28" s="2"/>
      <c r="N28" s="3" t="s">
        <v>26</v>
      </c>
      <c r="O28" s="3" t="s">
        <v>27</v>
      </c>
      <c r="P28" s="3" t="s">
        <v>28</v>
      </c>
      <c r="Q28" s="3" t="s">
        <v>29</v>
      </c>
      <c r="R28" s="3" t="s">
        <v>30</v>
      </c>
    </row>
    <row r="29" spans="1:18" x14ac:dyDescent="0.35">
      <c r="A29" s="2" t="s">
        <v>31</v>
      </c>
      <c r="B29">
        <v>4</v>
      </c>
      <c r="C29">
        <v>4</v>
      </c>
      <c r="D29">
        <v>3</v>
      </c>
      <c r="E29">
        <v>2</v>
      </c>
      <c r="F29">
        <v>4</v>
      </c>
      <c r="G29" s="2"/>
      <c r="H29">
        <v>4</v>
      </c>
      <c r="I29">
        <v>3</v>
      </c>
      <c r="J29">
        <v>3</v>
      </c>
      <c r="K29">
        <v>2</v>
      </c>
      <c r="L29">
        <v>4</v>
      </c>
      <c r="M29" s="2"/>
      <c r="N29">
        <v>4</v>
      </c>
      <c r="O29">
        <v>4</v>
      </c>
      <c r="P29">
        <v>3</v>
      </c>
      <c r="Q29">
        <v>2</v>
      </c>
      <c r="R29">
        <v>5</v>
      </c>
    </row>
    <row r="30" spans="1:18" x14ac:dyDescent="0.35">
      <c r="A30" s="2" t="s">
        <v>32</v>
      </c>
      <c r="B30">
        <v>4</v>
      </c>
      <c r="C30">
        <v>4</v>
      </c>
      <c r="D30">
        <v>4</v>
      </c>
      <c r="E30">
        <v>2</v>
      </c>
      <c r="F30">
        <v>3</v>
      </c>
      <c r="G30" s="2"/>
      <c r="H30">
        <v>3</v>
      </c>
      <c r="I30">
        <v>3</v>
      </c>
      <c r="J30">
        <v>2</v>
      </c>
      <c r="K30">
        <v>1</v>
      </c>
      <c r="L30">
        <v>3</v>
      </c>
      <c r="M30" s="2"/>
      <c r="N30">
        <v>4</v>
      </c>
      <c r="O30">
        <v>3</v>
      </c>
      <c r="P30">
        <v>2</v>
      </c>
      <c r="Q30">
        <v>1</v>
      </c>
      <c r="R30">
        <v>5</v>
      </c>
    </row>
    <row r="31" spans="1:18" x14ac:dyDescent="0.35">
      <c r="A31" s="2" t="s">
        <v>33</v>
      </c>
      <c r="B31">
        <v>4</v>
      </c>
      <c r="C31">
        <v>5</v>
      </c>
      <c r="D31">
        <v>3</v>
      </c>
      <c r="E31">
        <v>4</v>
      </c>
      <c r="F31">
        <v>3</v>
      </c>
      <c r="G31" s="2"/>
      <c r="H31">
        <v>3</v>
      </c>
      <c r="I31">
        <v>3</v>
      </c>
      <c r="J31">
        <v>3</v>
      </c>
      <c r="K31">
        <v>2</v>
      </c>
      <c r="L31">
        <v>3</v>
      </c>
      <c r="M31" s="2"/>
      <c r="N31">
        <v>5</v>
      </c>
      <c r="O31">
        <v>4</v>
      </c>
      <c r="P31">
        <v>4</v>
      </c>
      <c r="Q31">
        <v>3</v>
      </c>
      <c r="R31">
        <v>5</v>
      </c>
    </row>
    <row r="32" spans="1:18" x14ac:dyDescent="0.35">
      <c r="A32" s="2" t="s">
        <v>34</v>
      </c>
      <c r="B32">
        <v>4</v>
      </c>
      <c r="C32">
        <v>5</v>
      </c>
      <c r="D32">
        <v>3</v>
      </c>
      <c r="E32">
        <v>4</v>
      </c>
      <c r="F32">
        <v>2</v>
      </c>
      <c r="G32" s="2"/>
      <c r="H32">
        <v>2</v>
      </c>
      <c r="I32">
        <v>4</v>
      </c>
      <c r="J32">
        <v>4</v>
      </c>
      <c r="K32">
        <v>4</v>
      </c>
      <c r="L32">
        <v>4</v>
      </c>
      <c r="M32" s="2"/>
      <c r="N32">
        <v>4</v>
      </c>
      <c r="O32">
        <v>4</v>
      </c>
      <c r="P32">
        <v>5</v>
      </c>
      <c r="Q32">
        <v>3</v>
      </c>
      <c r="R32">
        <v>5</v>
      </c>
    </row>
    <row r="33" spans="1:18" x14ac:dyDescent="0.35">
      <c r="A33" s="2" t="s">
        <v>35</v>
      </c>
      <c r="B33">
        <v>5</v>
      </c>
      <c r="C33">
        <v>5</v>
      </c>
      <c r="D33">
        <v>5</v>
      </c>
      <c r="E33">
        <v>4</v>
      </c>
      <c r="F33">
        <v>4</v>
      </c>
      <c r="G33" s="2"/>
      <c r="H33">
        <v>4</v>
      </c>
      <c r="I33">
        <v>4</v>
      </c>
      <c r="J33">
        <v>4</v>
      </c>
      <c r="K33">
        <v>4</v>
      </c>
      <c r="L33">
        <v>4</v>
      </c>
      <c r="M33" s="2"/>
      <c r="N33">
        <v>5</v>
      </c>
      <c r="O33">
        <v>5</v>
      </c>
      <c r="P33">
        <v>3</v>
      </c>
      <c r="Q33">
        <v>3</v>
      </c>
      <c r="R33">
        <v>5</v>
      </c>
    </row>
    <row r="34" spans="1:18" x14ac:dyDescent="0.35">
      <c r="A34" s="2" t="s">
        <v>36</v>
      </c>
      <c r="B34">
        <v>3</v>
      </c>
      <c r="C34">
        <v>4</v>
      </c>
      <c r="D34">
        <v>4</v>
      </c>
      <c r="E34">
        <v>4</v>
      </c>
      <c r="F34">
        <v>3</v>
      </c>
      <c r="G34" s="2"/>
      <c r="H34">
        <v>4</v>
      </c>
      <c r="I34">
        <v>4</v>
      </c>
      <c r="J34">
        <v>3</v>
      </c>
      <c r="K34">
        <v>2</v>
      </c>
      <c r="L34">
        <v>4</v>
      </c>
      <c r="M34" s="2"/>
      <c r="N34">
        <v>3</v>
      </c>
      <c r="O34">
        <v>1</v>
      </c>
      <c r="P34">
        <v>3</v>
      </c>
      <c r="Q34">
        <v>1</v>
      </c>
      <c r="R34">
        <v>4</v>
      </c>
    </row>
    <row r="35" spans="1:18" x14ac:dyDescent="0.35">
      <c r="A35" s="2" t="s">
        <v>37</v>
      </c>
      <c r="B35">
        <v>4</v>
      </c>
      <c r="C35">
        <v>4</v>
      </c>
      <c r="D35">
        <v>3</v>
      </c>
      <c r="E35">
        <v>3</v>
      </c>
      <c r="F35">
        <v>2</v>
      </c>
      <c r="G35" s="2"/>
      <c r="H35">
        <v>2</v>
      </c>
      <c r="I35">
        <v>3</v>
      </c>
      <c r="J35">
        <v>2</v>
      </c>
      <c r="K35">
        <v>2</v>
      </c>
      <c r="L35">
        <v>4</v>
      </c>
      <c r="M35" s="2"/>
      <c r="N35">
        <v>3</v>
      </c>
      <c r="O35">
        <v>4</v>
      </c>
      <c r="P35">
        <v>2</v>
      </c>
      <c r="Q35">
        <v>2</v>
      </c>
      <c r="R35">
        <v>5</v>
      </c>
    </row>
    <row r="36" spans="1:18" x14ac:dyDescent="0.35">
      <c r="A36" s="2" t="s">
        <v>38</v>
      </c>
      <c r="B36">
        <v>4</v>
      </c>
      <c r="C36">
        <v>5</v>
      </c>
      <c r="D36">
        <v>3</v>
      </c>
      <c r="E36">
        <v>3</v>
      </c>
      <c r="F36">
        <v>4</v>
      </c>
      <c r="G36" s="2"/>
      <c r="H36">
        <v>3</v>
      </c>
      <c r="I36">
        <v>3</v>
      </c>
      <c r="J36">
        <v>3</v>
      </c>
      <c r="K36">
        <v>2</v>
      </c>
      <c r="L36">
        <v>2</v>
      </c>
      <c r="M36" s="2"/>
      <c r="N36">
        <v>4</v>
      </c>
      <c r="O36">
        <v>4</v>
      </c>
      <c r="P36">
        <v>1</v>
      </c>
      <c r="Q36">
        <v>1</v>
      </c>
      <c r="R36">
        <v>5</v>
      </c>
    </row>
    <row r="37" spans="1:18" x14ac:dyDescent="0.35">
      <c r="A37" s="2" t="s">
        <v>39</v>
      </c>
      <c r="B37">
        <v>2</v>
      </c>
      <c r="C37">
        <v>3</v>
      </c>
      <c r="D37">
        <v>5</v>
      </c>
      <c r="E37">
        <v>3</v>
      </c>
      <c r="F37">
        <v>2</v>
      </c>
      <c r="G37" s="2"/>
      <c r="H37">
        <v>2</v>
      </c>
      <c r="I37">
        <v>2</v>
      </c>
      <c r="J37">
        <v>2</v>
      </c>
      <c r="K37">
        <v>2</v>
      </c>
      <c r="L37">
        <v>2</v>
      </c>
      <c r="M37" s="2"/>
      <c r="N37">
        <v>4</v>
      </c>
      <c r="O37">
        <v>3</v>
      </c>
      <c r="P37">
        <v>5</v>
      </c>
      <c r="Q37">
        <v>3</v>
      </c>
      <c r="R37">
        <v>4</v>
      </c>
    </row>
    <row r="38" spans="1:18" x14ac:dyDescent="0.35">
      <c r="A38" s="2" t="s">
        <v>40</v>
      </c>
      <c r="B38">
        <v>3</v>
      </c>
      <c r="C38">
        <v>3</v>
      </c>
      <c r="D38">
        <v>1</v>
      </c>
      <c r="E38">
        <v>2</v>
      </c>
      <c r="F38">
        <v>1</v>
      </c>
      <c r="G38" s="2"/>
      <c r="H38">
        <v>2</v>
      </c>
      <c r="I38">
        <v>2</v>
      </c>
      <c r="J38">
        <v>2</v>
      </c>
      <c r="K38">
        <v>2</v>
      </c>
      <c r="L38">
        <v>2</v>
      </c>
      <c r="M38" s="2"/>
      <c r="N38">
        <v>4</v>
      </c>
      <c r="O38">
        <v>4</v>
      </c>
      <c r="P38">
        <v>1</v>
      </c>
      <c r="Q38">
        <v>1</v>
      </c>
      <c r="R38">
        <v>5</v>
      </c>
    </row>
    <row r="39" spans="1:18" x14ac:dyDescent="0.35">
      <c r="A39" s="2" t="s">
        <v>41</v>
      </c>
      <c r="B39">
        <v>5</v>
      </c>
      <c r="C39">
        <v>5</v>
      </c>
      <c r="D39">
        <v>4</v>
      </c>
      <c r="E39">
        <v>5</v>
      </c>
      <c r="F39">
        <v>5</v>
      </c>
      <c r="G39" s="2"/>
      <c r="H39">
        <v>3</v>
      </c>
      <c r="I39">
        <v>3</v>
      </c>
      <c r="J39">
        <v>3</v>
      </c>
      <c r="K39">
        <v>2</v>
      </c>
      <c r="L39">
        <v>2</v>
      </c>
      <c r="M39" s="2"/>
      <c r="N39">
        <v>5</v>
      </c>
      <c r="O39">
        <v>5</v>
      </c>
      <c r="P39">
        <v>5</v>
      </c>
      <c r="Q39">
        <v>4</v>
      </c>
      <c r="R39">
        <v>5</v>
      </c>
    </row>
    <row r="40" spans="1:18" x14ac:dyDescent="0.35">
      <c r="A40" s="2" t="s">
        <v>42</v>
      </c>
      <c r="B40">
        <v>5</v>
      </c>
      <c r="C40">
        <v>4</v>
      </c>
      <c r="D40">
        <v>4</v>
      </c>
      <c r="E40">
        <v>3</v>
      </c>
      <c r="F40">
        <v>4</v>
      </c>
      <c r="G40" s="2"/>
      <c r="H40">
        <v>1</v>
      </c>
      <c r="I40">
        <v>3</v>
      </c>
      <c r="J40">
        <v>3</v>
      </c>
      <c r="K40">
        <v>1</v>
      </c>
      <c r="L40">
        <v>3</v>
      </c>
      <c r="M40" s="2"/>
      <c r="N40">
        <v>2</v>
      </c>
      <c r="O40">
        <v>3</v>
      </c>
      <c r="P40">
        <v>2</v>
      </c>
      <c r="Q40">
        <v>1</v>
      </c>
      <c r="R40">
        <v>4</v>
      </c>
    </row>
    <row r="41" spans="1:18" x14ac:dyDescent="0.35">
      <c r="A41" s="2" t="s">
        <v>43</v>
      </c>
      <c r="B41">
        <v>4</v>
      </c>
      <c r="C41">
        <v>3</v>
      </c>
      <c r="D41">
        <v>4</v>
      </c>
      <c r="E41">
        <v>4</v>
      </c>
      <c r="F41">
        <v>5</v>
      </c>
      <c r="G41" s="2"/>
      <c r="H41">
        <v>1</v>
      </c>
      <c r="I41">
        <v>2</v>
      </c>
      <c r="J41">
        <v>2</v>
      </c>
      <c r="K41">
        <v>2</v>
      </c>
      <c r="L41">
        <v>2</v>
      </c>
      <c r="M41" s="2"/>
      <c r="N41">
        <v>4</v>
      </c>
      <c r="O41">
        <v>4</v>
      </c>
      <c r="P41">
        <v>5</v>
      </c>
      <c r="Q41">
        <v>2</v>
      </c>
      <c r="R41">
        <v>5</v>
      </c>
    </row>
    <row r="42" spans="1:18" x14ac:dyDescent="0.35">
      <c r="A42" s="2" t="s">
        <v>44</v>
      </c>
      <c r="B42">
        <v>4</v>
      </c>
      <c r="C42">
        <v>1</v>
      </c>
      <c r="D42">
        <v>1</v>
      </c>
      <c r="E42">
        <v>1</v>
      </c>
      <c r="F42">
        <v>1</v>
      </c>
      <c r="G42" s="2"/>
      <c r="H42">
        <v>3</v>
      </c>
      <c r="I42">
        <v>2</v>
      </c>
      <c r="J42">
        <v>3</v>
      </c>
      <c r="K42">
        <v>3</v>
      </c>
      <c r="L42">
        <v>2</v>
      </c>
      <c r="M42" s="2"/>
      <c r="N42">
        <v>4</v>
      </c>
      <c r="O42">
        <v>2</v>
      </c>
      <c r="P42">
        <v>5</v>
      </c>
      <c r="Q42">
        <v>4</v>
      </c>
      <c r="R42">
        <v>3</v>
      </c>
    </row>
    <row r="43" spans="1:18" x14ac:dyDescent="0.35">
      <c r="A43" s="2" t="s">
        <v>45</v>
      </c>
      <c r="B43">
        <v>3</v>
      </c>
      <c r="C43">
        <v>4</v>
      </c>
      <c r="D43">
        <v>3</v>
      </c>
      <c r="E43">
        <v>2</v>
      </c>
      <c r="F43">
        <v>3</v>
      </c>
      <c r="G43" s="2"/>
      <c r="H43">
        <v>2</v>
      </c>
      <c r="I43">
        <v>2</v>
      </c>
      <c r="J43">
        <v>2</v>
      </c>
      <c r="K43">
        <v>2</v>
      </c>
      <c r="L43">
        <v>2</v>
      </c>
      <c r="M43" s="2"/>
      <c r="N43">
        <v>5</v>
      </c>
      <c r="O43">
        <v>5</v>
      </c>
      <c r="P43">
        <v>4</v>
      </c>
      <c r="Q43">
        <v>3</v>
      </c>
      <c r="R43">
        <v>5</v>
      </c>
    </row>
    <row r="44" spans="1:18" x14ac:dyDescent="0.35">
      <c r="A44" s="2" t="s">
        <v>49</v>
      </c>
      <c r="B44">
        <v>4</v>
      </c>
      <c r="C44">
        <v>4</v>
      </c>
      <c r="D44">
        <v>3</v>
      </c>
      <c r="E44">
        <v>3</v>
      </c>
      <c r="F44">
        <v>4</v>
      </c>
      <c r="G44" s="2"/>
      <c r="H44">
        <v>2</v>
      </c>
      <c r="I44">
        <v>3</v>
      </c>
      <c r="J44">
        <v>3</v>
      </c>
      <c r="K44">
        <v>2</v>
      </c>
      <c r="L44">
        <v>2</v>
      </c>
      <c r="M44" s="2"/>
      <c r="N44">
        <v>5</v>
      </c>
      <c r="O44">
        <v>5</v>
      </c>
      <c r="P44">
        <v>5</v>
      </c>
      <c r="Q44">
        <v>4</v>
      </c>
      <c r="R44">
        <v>5</v>
      </c>
    </row>
    <row r="45" spans="1:18" x14ac:dyDescent="0.35">
      <c r="A45" s="2" t="s">
        <v>50</v>
      </c>
      <c r="B45">
        <v>3</v>
      </c>
      <c r="C45">
        <v>5</v>
      </c>
      <c r="D45">
        <v>2</v>
      </c>
      <c r="E45">
        <v>2</v>
      </c>
      <c r="F45">
        <v>2</v>
      </c>
      <c r="G45" s="2"/>
      <c r="H45">
        <v>1</v>
      </c>
      <c r="I45">
        <v>2</v>
      </c>
      <c r="J45">
        <v>2</v>
      </c>
      <c r="K45">
        <v>2</v>
      </c>
      <c r="L45">
        <v>2</v>
      </c>
      <c r="M45" s="2"/>
      <c r="N45">
        <v>3</v>
      </c>
      <c r="O45">
        <v>3</v>
      </c>
      <c r="P45">
        <v>2</v>
      </c>
      <c r="Q45">
        <v>1</v>
      </c>
      <c r="R45">
        <v>5</v>
      </c>
    </row>
    <row r="46" spans="1:18" x14ac:dyDescent="0.35">
      <c r="A46" s="2" t="s">
        <v>51</v>
      </c>
      <c r="B46">
        <v>3</v>
      </c>
      <c r="C46">
        <v>3</v>
      </c>
      <c r="D46">
        <v>4</v>
      </c>
      <c r="E46">
        <v>2</v>
      </c>
      <c r="F46">
        <v>4</v>
      </c>
      <c r="G46" s="2"/>
      <c r="H46">
        <v>2</v>
      </c>
      <c r="I46">
        <v>2</v>
      </c>
      <c r="J46">
        <v>2</v>
      </c>
      <c r="K46">
        <v>2</v>
      </c>
      <c r="L46">
        <v>2</v>
      </c>
      <c r="M46" s="2"/>
      <c r="N46">
        <v>4</v>
      </c>
      <c r="O46">
        <v>3</v>
      </c>
      <c r="P46">
        <v>3</v>
      </c>
      <c r="Q46">
        <v>1</v>
      </c>
      <c r="R46">
        <v>5</v>
      </c>
    </row>
    <row r="47" spans="1:18" x14ac:dyDescent="0.35">
      <c r="A47" s="2" t="s">
        <v>52</v>
      </c>
      <c r="B47">
        <v>5</v>
      </c>
      <c r="C47">
        <v>5</v>
      </c>
      <c r="D47">
        <v>5</v>
      </c>
      <c r="E47">
        <v>5</v>
      </c>
      <c r="F47">
        <v>5</v>
      </c>
      <c r="G47" s="2"/>
      <c r="H47">
        <v>2</v>
      </c>
      <c r="I47">
        <v>2</v>
      </c>
      <c r="J47">
        <v>3</v>
      </c>
      <c r="K47">
        <v>2</v>
      </c>
      <c r="L47">
        <v>2</v>
      </c>
      <c r="M47" s="2"/>
      <c r="N47">
        <v>5</v>
      </c>
      <c r="O47">
        <v>4</v>
      </c>
      <c r="P47">
        <v>4</v>
      </c>
      <c r="Q47">
        <v>2</v>
      </c>
      <c r="R47">
        <v>5</v>
      </c>
    </row>
    <row r="48" spans="1:18" x14ac:dyDescent="0.35">
      <c r="A48" s="2" t="s">
        <v>53</v>
      </c>
      <c r="B48">
        <v>5</v>
      </c>
      <c r="C48">
        <v>4</v>
      </c>
      <c r="D48">
        <v>3</v>
      </c>
      <c r="E48">
        <v>4</v>
      </c>
      <c r="F48">
        <v>5</v>
      </c>
      <c r="G48" s="2"/>
      <c r="H48">
        <v>3</v>
      </c>
      <c r="I48">
        <v>3</v>
      </c>
      <c r="J48">
        <v>3</v>
      </c>
      <c r="K48">
        <v>3</v>
      </c>
      <c r="L48">
        <v>3</v>
      </c>
      <c r="M48" s="2"/>
      <c r="N48">
        <v>5</v>
      </c>
      <c r="O48">
        <v>4</v>
      </c>
      <c r="P48">
        <v>4</v>
      </c>
      <c r="Q48">
        <v>4</v>
      </c>
      <c r="R48">
        <v>5</v>
      </c>
    </row>
    <row r="49" spans="1:18" x14ac:dyDescent="0.35">
      <c r="A49" s="2" t="s">
        <v>46</v>
      </c>
      <c r="B49" s="7">
        <f>SUM(B29:B48)/20</f>
        <v>3.9</v>
      </c>
      <c r="C49" s="7">
        <f t="shared" ref="C49:F49" si="3">SUM(C29:C48)/20</f>
        <v>4</v>
      </c>
      <c r="D49" s="7">
        <f t="shared" si="3"/>
        <v>3.35</v>
      </c>
      <c r="E49" s="7">
        <f t="shared" si="3"/>
        <v>3.1</v>
      </c>
      <c r="F49" s="7">
        <f t="shared" si="3"/>
        <v>3.3</v>
      </c>
      <c r="G49" s="7"/>
      <c r="H49" s="7">
        <f>SUM(H29:H48)/20</f>
        <v>2.4500000000000002</v>
      </c>
      <c r="I49" s="7">
        <f t="shared" ref="I49:L49" si="4">SUM(I29:I48)/20</f>
        <v>2.75</v>
      </c>
      <c r="J49" s="7">
        <f t="shared" si="4"/>
        <v>2.7</v>
      </c>
      <c r="K49" s="7">
        <f t="shared" si="4"/>
        <v>2.2000000000000002</v>
      </c>
      <c r="L49" s="7">
        <f t="shared" si="4"/>
        <v>2.7</v>
      </c>
      <c r="M49" s="7"/>
      <c r="N49" s="7">
        <f>SUM(N29:N48)/20</f>
        <v>4.0999999999999996</v>
      </c>
      <c r="O49" s="7">
        <f t="shared" ref="O49:R49" si="5">SUM(O29:O48)/20</f>
        <v>3.7</v>
      </c>
      <c r="P49" s="7">
        <f t="shared" si="5"/>
        <v>3.4</v>
      </c>
      <c r="Q49" s="7">
        <f t="shared" si="5"/>
        <v>2.2999999999999998</v>
      </c>
      <c r="R49" s="7">
        <f t="shared" si="5"/>
        <v>4.75</v>
      </c>
    </row>
    <row r="50" spans="1:18" x14ac:dyDescent="0.35">
      <c r="A50" s="2" t="s">
        <v>47</v>
      </c>
      <c r="B50" s="7">
        <f>(B49+H49+N49)/3</f>
        <v>3.4833333333333329</v>
      </c>
      <c r="C50" s="7">
        <f t="shared" ref="C50:F50" si="6">(C49+I49+O49)/3</f>
        <v>3.4833333333333329</v>
      </c>
      <c r="D50" s="7">
        <f t="shared" si="6"/>
        <v>3.1500000000000004</v>
      </c>
      <c r="E50" s="7">
        <f t="shared" si="6"/>
        <v>2.5333333333333337</v>
      </c>
      <c r="F50" s="7">
        <f t="shared" si="6"/>
        <v>3.5833333333333335</v>
      </c>
      <c r="G50" s="2"/>
      <c r="H50" s="2"/>
      <c r="I50" s="2"/>
      <c r="J50" s="2"/>
      <c r="K50" s="2"/>
      <c r="L50" s="2"/>
      <c r="M50" s="2"/>
      <c r="N50" s="2"/>
      <c r="O50" s="2"/>
      <c r="P50" s="2"/>
      <c r="Q50" s="2"/>
      <c r="R50" s="2"/>
    </row>
    <row r="54" spans="1:18" x14ac:dyDescent="0.35">
      <c r="B54" s="10"/>
      <c r="C54" s="10"/>
      <c r="D54" s="10"/>
      <c r="E54" s="10"/>
      <c r="F54" s="10"/>
      <c r="G54" s="10"/>
      <c r="H54" s="10"/>
      <c r="I54" s="10"/>
      <c r="J54" s="10"/>
      <c r="K54" s="10"/>
    </row>
  </sheetData>
  <mergeCells count="6">
    <mergeCell ref="B1:F1"/>
    <mergeCell ref="H1:L1"/>
    <mergeCell ref="N1:R1"/>
    <mergeCell ref="B27:F27"/>
    <mergeCell ref="H27:L27"/>
    <mergeCell ref="N27:R27"/>
  </mergeCells>
  <pageMargins left="0.7" right="0.7" top="0.75" bottom="0.75" header="0.3" footer="0.3"/>
</worksheet>
</file>

<file path=docMetadata/LabelInfo.xml><?xml version="1.0" encoding="utf-8"?>
<clbl:labelList xmlns:clbl="http://schemas.microsoft.com/office/2020/mipLabelMetadata">
  <clbl:label id="{912a5d77-fb98-4eee-af32-1334d8f04a53}" enabled="0" method="" siteId="{912a5d77-fb98-4eee-af32-1334d8f04a5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Overall</vt:lpstr>
      <vt:lpstr>Built Environment</vt:lpstr>
      <vt:lpstr>Energy</vt:lpstr>
      <vt:lpstr>Transport</vt:lpstr>
      <vt:lpstr>Sea Level</vt:lpstr>
      <vt:lpstr>Agriculture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Xie, Hailun</dc:creator>
  <cp:keywords/>
  <dc:description/>
  <cp:lastModifiedBy>Xie, Hailun</cp:lastModifiedBy>
  <cp:revision/>
  <dcterms:created xsi:type="dcterms:W3CDTF">2015-06-05T18:17:20Z</dcterms:created>
  <dcterms:modified xsi:type="dcterms:W3CDTF">2026-10-07T12:00:38Z</dcterms:modified>
  <cp:category/>
  <cp:contentStatus/>
</cp:coreProperties>
</file>